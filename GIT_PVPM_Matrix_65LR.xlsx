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fransprinsloo/Documents/Insuretec 2026/Marine - GIT/"/>
    </mc:Choice>
  </mc:AlternateContent>
  <xr:revisionPtr revIDLastSave="0" documentId="8_{32BB4276-0877-0045-B4A4-FA8235A8E878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PVPM Rate Matrix" sheetId="1" r:id="rId1"/>
    <sheet name="PVPM Fleet Calculator" sheetId="2" r:id="rId2"/>
    <sheet name="Motorworld Case Stud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2" l="1"/>
  <c r="C37" i="2"/>
  <c r="C36" i="2"/>
  <c r="C35" i="2"/>
  <c r="C34" i="2"/>
  <c r="C31" i="2"/>
  <c r="C30" i="2"/>
  <c r="C33" i="2" s="1"/>
  <c r="C38" i="2" s="1"/>
  <c r="C26" i="2"/>
  <c r="D25" i="2"/>
  <c r="D24" i="2"/>
  <c r="D23" i="2"/>
  <c r="D22" i="2"/>
  <c r="D21" i="2"/>
  <c r="D20" i="2"/>
  <c r="D19" i="2"/>
  <c r="D18" i="2"/>
  <c r="D17" i="2"/>
  <c r="C39" i="2" l="1"/>
  <c r="C40" i="2" s="1"/>
  <c r="C42" i="2" s="1"/>
  <c r="C44" i="2" l="1"/>
  <c r="C43" i="2"/>
  <c r="C45" i="2" s="1"/>
</calcChain>
</file>

<file path=xl/sharedStrings.xml><?xml version="1.0" encoding="utf-8"?>
<sst xmlns="http://schemas.openxmlformats.org/spreadsheetml/2006/main" count="160" uniqueCount="152">
  <si>
    <t>GIT — PER VEHICLE PER MONTH (PVPM) RATING MATRIX
Target Loss Ratio: 65%  |  Minimum Base Rate: 0.711% p.a. = R0.05925% per month  |  Calibrated: 1,961 Claims | R155M Premium
Read from matrix: find commodity row × load limit column = R per vehicle per month</t>
  </si>
  <si>
    <t>Market reference:  Coal R500k → R650/veh/mo (market)  |  FMCG R1.5M → R2,400/veh/mo (market)  |  Motorworld CCBSA actual: R1,684.93/veh/mo @ R1.5M  |  65% LR calibrated rates shown below</t>
  </si>
  <si>
    <t>SECTION A: 65% LR CALIBRATED PVPM RATES  (R per vehicle per month)  |  Base Rate = 0.711% p.a.</t>
  </si>
  <si>
    <t>COMMODITY TYPE</t>
  </si>
  <si>
    <t>R250k
limit/veh</t>
  </si>
  <si>
    <t>R500k
limit/veh</t>
  </si>
  <si>
    <t>R750k
limit/veh</t>
  </si>
  <si>
    <t>R1.0M
limit/veh</t>
  </si>
  <si>
    <t>R1.5M
limit/veh</t>
  </si>
  <si>
    <t>R2.0M
limit/veh</t>
  </si>
  <si>
    <t>R3.0M
limit/veh</t>
  </si>
  <si>
    <t>R5.0M
limit/veh</t>
  </si>
  <si>
    <t>Coal / Mining Bulk</t>
  </si>
  <si>
    <t>Agricultural / Grain (dry)</t>
  </si>
  <si>
    <t>General Cargo (mixed)</t>
  </si>
  <si>
    <t>Building Materials</t>
  </si>
  <si>
    <t>Timber / Paper Products</t>
  </si>
  <si>
    <t>Refrigerated Goods</t>
  </si>
  <si>
    <t>Machinery &amp; Equipment</t>
  </si>
  <si>
    <t>Automotive Parts</t>
  </si>
  <si>
    <t>Metals / Steel / Chrome</t>
  </si>
  <si>
    <t>Pharmaceuticals</t>
  </si>
  <si>
    <t>Alcohol &amp; Beverages</t>
  </si>
  <si>
    <t>Fuel &amp; Petroleum</t>
  </si>
  <si>
    <t>Electronics / Tech</t>
  </si>
  <si>
    <t>FMCG / Retail (general)</t>
  </si>
  <si>
    <t>FMCG / Branded CCBSA-type</t>
  </si>
  <si>
    <t>Commodity Crime Risk:  ■ Green = LOW   ■ Amber = MODERATE   ■ Orange = HIGH   ■ Red = VERY HIGH   ■ Dark Red = EXTREME  |  PVPM Colour:  ■ Lt Green &lt;R500  ■ Green R500-1k  ■ Amber R1k-2k  ■ Orange R2k-5k  ■ Red ≥R5k</t>
  </si>
  <si>
    <t>SECTION B: MARKET PVPM vs 65% LR CALIBRATED RATES — KEY ANCHOR COMMODITIES</t>
  </si>
  <si>
    <t>Commodity</t>
  </si>
  <si>
    <t>Load Limit</t>
  </si>
  <si>
    <t>Market PVPM
(current)</t>
  </si>
  <si>
    <t>65% LR Min
PVPM</t>
  </si>
  <si>
    <t>Required
Increase</t>
  </si>
  <si>
    <t>Market
Ann. Rate</t>
  </si>
  <si>
    <t>65% LR
Ann. Rate</t>
  </si>
  <si>
    <t>Gap to
65% LR</t>
  </si>
  <si>
    <t>FMCG / Branded (CCBSA)</t>
  </si>
  <si>
    <t>GIT FLEET — PVPM PREMIUM CALCULATOR (65% LR Calibrated)
Enter inputs in Yellow cells  |  Rates: R per vehicle per month  |  Min base rate 0.711% p.a.</t>
  </si>
  <si>
    <t>★  Market is under-priced by 2.37× vs 65% LR target. PVPM rates in this calculator reflect the minimum required to achieve profitability.</t>
  </si>
  <si>
    <t>SECTION 1: FLEET &amp; RISK PROFILE</t>
  </si>
  <si>
    <t>Number of vehicles in fleet</t>
  </si>
  <si>
    <t>Count of vehicles covered</t>
  </si>
  <si>
    <t>Load Limit per vehicle (R)</t>
  </si>
  <si>
    <t>Maximum cargo value per vehicle/trip</t>
  </si>
  <si>
    <t>Commodity Type Loading Factor (from matrix)</t>
  </si>
  <si>
    <t>General=1.00 | Coal=0.55 | Alcohol=2.83 | FMCG=8.24</t>
  </si>
  <si>
    <t>Geographic Zone Loading (High=1.30 | Med=1.15)</t>
  </si>
  <si>
    <t>Western Cape = 1.00  |  Gauteng = 1.30</t>
  </si>
  <si>
    <t>Claims History Loading (clean=1.00 | 1 claim=1.15)</t>
  </si>
  <si>
    <t>Multiplier per claim in last 3 years</t>
  </si>
  <si>
    <t>Fleet Age Loading (new=1.00 | &gt;10yr=1.15)</t>
  </si>
  <si>
    <t>Older vehicles = higher frequency risk</t>
  </si>
  <si>
    <t>Night Operations Loading (&gt;30% night = 1.20)</t>
  </si>
  <si>
    <t>SA crime peaks after dark</t>
  </si>
  <si>
    <t>Cross-Border Loading (SADC = 1.25 | local = 1.00)</t>
  </si>
  <si>
    <t>Reduced law enforcement cross-border</t>
  </si>
  <si>
    <t>SECTION 2: IoT DEVICE CREDITS  (1=Installed | 0=Not Installed)</t>
  </si>
  <si>
    <t>GPS Real-Time Tracking (MANDATORY for Theft/Hijack)</t>
  </si>
  <si>
    <t>Geofencing + Zone Alerting</t>
  </si>
  <si>
    <t>Driver Behaviour Monitor</t>
  </si>
  <si>
    <t>Fatigue / Drowsiness Detection</t>
  </si>
  <si>
    <t>Cargo Seal / Door Sensors (MANDATORY: Alcohol/FMCG)</t>
  </si>
  <si>
    <t>Temperature / Humidity Logger</t>
  </si>
  <si>
    <t>Load Weight / Tilt Sensor</t>
  </si>
  <si>
    <t>Panic Button + Armed Response</t>
  </si>
  <si>
    <t>Dashcam — Front &amp; Rear</t>
  </si>
  <si>
    <t>TOTAL IoT CREDIT (Max −40%)</t>
  </si>
  <si>
    <t>Credit capped at −40%. Base rate floor remains at 0.711% p.a.</t>
  </si>
  <si>
    <t>SECTION 3: PVPM FLEET PREMIUM OUTPUT</t>
  </si>
  <si>
    <t>Base Monthly Rate (0.711% p.a. ÷ 12)</t>
  </si>
  <si>
    <t>× Commodity Loading Factor</t>
  </si>
  <si>
    <t>× All Risks Peril Blend Factor</t>
  </si>
  <si>
    <t>2.00</t>
  </si>
  <si>
    <t>Base PVPM per Vehicle (before adjustments)</t>
  </si>
  <si>
    <t>× Geographic Zone Loading</t>
  </si>
  <si>
    <t>× Claims History Loading</t>
  </si>
  <si>
    <t>× Fleet Age Loading</t>
  </si>
  <si>
    <t>× Night / Cross-Border Loading</t>
  </si>
  <si>
    <t>LOADED PVPM (before IoT credit)</t>
  </si>
  <si>
    <t>IoT Credit (per vehicle per month)</t>
  </si>
  <si>
    <t>★  FINAL PVPM — per vehicle per month</t>
  </si>
  <si>
    <t>Number of Vehicles</t>
  </si>
  <si>
    <t>★  TOTAL MONTHLY FLEET PREMIUM (R)</t>
  </si>
  <si>
    <t>Annual Fleet GIT Premium (×12)</t>
  </si>
  <si>
    <t>65% LR Claims Budget (monthly)</t>
  </si>
  <si>
    <t>Effective Annual Rate (% of total SI)</t>
  </si>
  <si>
    <t>MOTORWORLD SOUTH AFRICA (PTY) LTD — GIT PVPM CASE STUDY
Policy: LOMBARD-LIB0002-0000085  |  Based on Schedule dated 13 May 2026</t>
  </si>
  <si>
    <t>SCHEDULE FACTS — EXTRACTED FROM POLICY DOCUMENT</t>
  </si>
  <si>
    <t>Insured</t>
  </si>
  <si>
    <t>MOTORWORLD SOUTH AFRICA (PTY) LTD</t>
  </si>
  <si>
    <t>Durbanville, Cape Town</t>
  </si>
  <si>
    <t>Insurer</t>
  </si>
  <si>
    <t>Lombard Insurance Company Limited</t>
  </si>
  <si>
    <t>Policy: LOMBARD-LIB0002-0000085</t>
  </si>
  <si>
    <t>GIT Section</t>
  </si>
  <si>
    <t>Goods in Transit Commercial — Section 17</t>
  </si>
  <si>
    <t>All Risks cover; SASRIA included</t>
  </si>
  <si>
    <t>Commodity Type</t>
  </si>
  <si>
    <t>FMCG / Beverages (CCBSA distribution)</t>
  </si>
  <si>
    <t>Basis of valuation: selling price to wholesaler</t>
  </si>
  <si>
    <t>GIT Limit per Vehicle</t>
  </si>
  <si>
    <t>R1,500,000</t>
  </si>
  <si>
    <t>Load limit per vehicle per trip</t>
  </si>
  <si>
    <t>106 vehicles</t>
  </si>
  <si>
    <t>106× vehicles @ R1,684.93 PVPM</t>
  </si>
  <si>
    <t>Current Market PVPM</t>
  </si>
  <si>
    <t>R1,684.93 per vehicle per month</t>
  </si>
  <si>
    <t>As per schedule memo</t>
  </si>
  <si>
    <t>Monthly GIT Premium</t>
  </si>
  <si>
    <t>R184,377.58</t>
  </si>
  <si>
    <t>Matches: 106 × R1,684.93 + rounding adjustments</t>
  </si>
  <si>
    <t>Annual GIT Premium (est.)</t>
  </si>
  <si>
    <t>R2,212,530.96</t>
  </si>
  <si>
    <t>R184,377.58 × 12</t>
  </si>
  <si>
    <t>Annual Market Rate on SI</t>
  </si>
  <si>
    <t>1.348%</t>
  </si>
  <si>
    <t>R2.21M ÷ (106 × R1.5M) = 1.348% p.a.</t>
  </si>
  <si>
    <t>Territory</t>
  </si>
  <si>
    <t>RSA + SADC (incl. DRC to Kolwezi)</t>
  </si>
  <si>
    <t>Extended territorial limits apply</t>
  </si>
  <si>
    <t>Contract Type</t>
  </si>
  <si>
    <t>Monthly — auto-renewing</t>
  </si>
  <si>
    <t>Original inception: 01/04/2021</t>
  </si>
  <si>
    <t>Deposit/Burning Cost Fund</t>
  </si>
  <si>
    <t>60/40 split — 60% primary | 40% secondary</t>
  </si>
  <si>
    <t>Secondary premium refunded if LR &lt; 60%</t>
  </si>
  <si>
    <t>MOTORWORLD GIT RATE ADEQUACY — MARKET vs 65% LR TARGET</t>
  </si>
  <si>
    <t>Metric</t>
  </si>
  <si>
    <t>Value</t>
  </si>
  <si>
    <t>Notes</t>
  </si>
  <si>
    <t>Market PVPM (current schedule)</t>
  </si>
  <si>
    <t>Current market pricing — well below 65% LR floor</t>
  </si>
  <si>
    <t>65% LR Minimum PVPM (0.711% base)</t>
  </si>
  <si>
    <t>Required rate: 0.711% × FMCG factor 8.24 × All Risks 2.0</t>
  </si>
  <si>
    <t>65% LR Recommended PVPM (0.853% base)</t>
  </si>
  <si>
    <t>With 20% prudential margin</t>
  </si>
  <si>
    <t>PVPM Uplift Required (min)</t>
  </si>
  <si>
    <t>Additional R per vehicle per month needed</t>
  </si>
  <si>
    <t>Rate Uplift Factor Required</t>
  </si>
  <si>
    <t>Motorworld is significantly under-priced on FMCG loading</t>
  </si>
  <si>
    <t>Current Annual Rate on SI</t>
  </si>
  <si>
    <t>1.348% — well below the 0.711% minimum base rate</t>
  </si>
  <si>
    <t>65% LR Min Annual Rate (FMCG-loaded)</t>
  </si>
  <si>
    <t>11.706% p.a. — FMCG is extreme risk category</t>
  </si>
  <si>
    <t>Current Monthly Fleet Premium</t>
  </si>
  <si>
    <t>106 vehicles × R1,684.93</t>
  </si>
  <si>
    <t>Required Monthly Premium (65% LR min)</t>
  </si>
  <si>
    <t>Required to break even at 65% LR</t>
  </si>
  <si>
    <t>Monthly Shortfall</t>
  </si>
  <si>
    <t>Premium deficit — monthly</t>
  </si>
  <si>
    <t>NOTE ON 60/40 DEPOSIT / BURNING COST FUND:
The Motorworld policy operates on a 60/40 deposit premium structure. 60% (primary premium) is retained by the insurer; 40% (secondary) is held and refunded to the insured if the loss ratio is below 60% of the primary premium. If the LR exceeds 60%, the insurer draws from the secondary premium to restore the LR to 60%. This structure is a risk-sharing mechanism — but it does NOT resolve the underlying rate inadequacy: at FMCG commodity loadings, the 65% LR break-even PVPM is significantly higher than the R1,684.93 currently charged. The deposit mechanism reduces volatility but cannot substitute for correct base pricing. Recommend immediate re-rating at renewal using the 65% LR calibrated PVPM matrix.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</si>
</sst>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R#,##0"/>
    <numFmt numFmtId="165" formatCode="\+0.0%"/>
    <numFmt numFmtId="166" formatCode="0.000%"/>
    <numFmt numFmtId="167" formatCode="\+0.000%"/>
    <numFmt numFmtId="168" formatCode="0.0%"/>
    <numFmt numFmtId="169" formatCode="0.00000%"/>
    <numFmt numFmtId="170" formatCode="\R#,##0.00"/>
    <numFmt numFmtId="171" formatCode="0.00\x"/>
  </numFmts>
  <fonts count="21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i/>
      <sz val="8"/>
      <color rgb="FF595959"/>
      <name val="Arial"/>
      <family val="2"/>
    </font>
    <font>
      <sz val="10"/>
      <color rgb="FFFFC000"/>
      <name val="Arial"/>
      <family val="2"/>
    </font>
    <font>
      <b/>
      <sz val="10"/>
      <color rgb="FF70AD47"/>
      <name val="Arial"/>
      <family val="2"/>
    </font>
    <font>
      <b/>
      <sz val="10"/>
      <color rgb="FFFF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sz val="10"/>
      <color rgb="FF595959"/>
      <name val="Arial"/>
      <family val="2"/>
    </font>
    <font>
      <b/>
      <sz val="11"/>
      <color rgb="FF000000"/>
      <name val="Arial"/>
      <family val="2"/>
    </font>
    <font>
      <b/>
      <sz val="13"/>
      <color rgb="FFFFFFFF"/>
      <name val="Arial"/>
      <family val="2"/>
    </font>
    <font>
      <sz val="10"/>
      <color rgb="FF2E75B6"/>
      <name val="Arial"/>
      <family val="2"/>
    </font>
    <font>
      <b/>
      <sz val="10"/>
      <color rgb="FFFFC000"/>
      <name val="Arial"/>
      <family val="2"/>
    </font>
    <font>
      <b/>
      <sz val="11"/>
      <color rgb="FFFF0000"/>
      <name val="Arial"/>
      <family val="2"/>
    </font>
    <font>
      <sz val="10"/>
      <color rgb="FF1F3864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EBF3E8"/>
      </patternFill>
    </fill>
    <fill>
      <patternFill patternType="solid">
        <fgColor rgb="FFFFF2CC"/>
      </patternFill>
    </fill>
    <fill>
      <patternFill patternType="solid">
        <fgColor rgb="FFFFC000"/>
      </patternFill>
    </fill>
    <fill>
      <patternFill patternType="solid">
        <fgColor rgb="FFED7D31"/>
      </patternFill>
    </fill>
    <fill>
      <patternFill patternType="solid">
        <fgColor rgb="FFFF0000"/>
      </patternFill>
    </fill>
    <fill>
      <patternFill patternType="solid">
        <fgColor rgb="FF8B0000"/>
      </patternFill>
    </fill>
    <fill>
      <patternFill patternType="solid">
        <fgColor rgb="FFFFE6E6"/>
      </patternFill>
    </fill>
    <fill>
      <patternFill patternType="solid">
        <fgColor rgb="FFFFFF00"/>
      </patternFill>
    </fill>
    <fill>
      <patternFill patternType="solid">
        <fgColor rgb="FF70AD47"/>
      </patternFill>
    </fill>
    <fill>
      <patternFill patternType="solid">
        <fgColor rgb="FFEBF3FF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/>
      <top style="medium">
        <color rgb="FF1F3864"/>
      </top>
      <bottom/>
      <diagonal/>
    </border>
    <border>
      <left/>
      <right/>
      <top style="medium">
        <color rgb="FF1F3864"/>
      </top>
      <bottom/>
      <diagonal/>
    </border>
    <border>
      <left/>
      <right style="medium">
        <color rgb="FF1F3864"/>
      </right>
      <top style="medium">
        <color rgb="FF1F3864"/>
      </top>
      <bottom/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medium">
        <color rgb="FF1F38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left" vertical="center"/>
    </xf>
    <xf numFmtId="3" fontId="6" fillId="6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3" fontId="6" fillId="7" borderId="1" xfId="0" applyNumberFormat="1" applyFont="1" applyFill="1" applyBorder="1" applyAlignment="1">
      <alignment horizontal="right" vertical="center"/>
    </xf>
    <xf numFmtId="3" fontId="6" fillId="8" borderId="6" xfId="0" applyNumberFormat="1" applyFont="1" applyFill="1" applyBorder="1" applyAlignment="1">
      <alignment horizontal="right" vertical="center"/>
    </xf>
    <xf numFmtId="3" fontId="6" fillId="8" borderId="1" xfId="0" applyNumberFormat="1" applyFont="1" applyFill="1" applyBorder="1" applyAlignment="1">
      <alignment horizontal="right" vertical="center"/>
    </xf>
    <xf numFmtId="3" fontId="4" fillId="9" borderId="6" xfId="0" applyNumberFormat="1" applyFont="1" applyFill="1" applyBorder="1" applyAlignment="1">
      <alignment horizontal="right" vertical="center"/>
    </xf>
    <xf numFmtId="0" fontId="6" fillId="8" borderId="5" xfId="0" applyFont="1" applyFill="1" applyBorder="1" applyAlignment="1">
      <alignment horizontal="left" vertical="center"/>
    </xf>
    <xf numFmtId="3" fontId="4" fillId="9" borderId="1" xfId="0" applyNumberFormat="1" applyFont="1" applyFill="1" applyBorder="1" applyAlignment="1">
      <alignment horizontal="right" vertical="center"/>
    </xf>
    <xf numFmtId="0" fontId="7" fillId="9" borderId="5" xfId="0" applyFont="1" applyFill="1" applyBorder="1" applyAlignment="1">
      <alignment horizontal="left" vertical="center"/>
    </xf>
    <xf numFmtId="3" fontId="4" fillId="10" borderId="6" xfId="0" applyNumberFormat="1" applyFont="1" applyFill="1" applyBorder="1" applyAlignment="1">
      <alignment horizontal="right" vertical="center"/>
    </xf>
    <xf numFmtId="0" fontId="7" fillId="10" borderId="5" xfId="0" applyFont="1" applyFill="1" applyBorder="1" applyAlignment="1">
      <alignment horizontal="left" vertical="center"/>
    </xf>
    <xf numFmtId="3" fontId="4" fillId="10" borderId="1" xfId="0" applyNumberFormat="1" applyFont="1" applyFill="1" applyBorder="1" applyAlignment="1">
      <alignment horizontal="right" vertical="center"/>
    </xf>
    <xf numFmtId="0" fontId="7" fillId="11" borderId="7" xfId="0" applyFont="1" applyFill="1" applyBorder="1" applyAlignment="1">
      <alignment horizontal="left" vertical="center"/>
    </xf>
    <xf numFmtId="3" fontId="6" fillId="8" borderId="8" xfId="0" applyNumberFormat="1" applyFont="1" applyFill="1" applyBorder="1" applyAlignment="1">
      <alignment horizontal="right" vertical="center"/>
    </xf>
    <xf numFmtId="3" fontId="4" fillId="9" borderId="8" xfId="0" applyNumberFormat="1" applyFont="1" applyFill="1" applyBorder="1" applyAlignment="1">
      <alignment horizontal="right" vertical="center"/>
    </xf>
    <xf numFmtId="3" fontId="4" fillId="10" borderId="8" xfId="0" applyNumberFormat="1" applyFont="1" applyFill="1" applyBorder="1" applyAlignment="1">
      <alignment horizontal="right" vertical="center"/>
    </xf>
    <xf numFmtId="3" fontId="4" fillId="10" borderId="9" xfId="0" applyNumberFormat="1" applyFont="1" applyFill="1" applyBorder="1" applyAlignment="1">
      <alignment horizontal="right" vertical="center"/>
    </xf>
    <xf numFmtId="0" fontId="5" fillId="4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left" vertical="center"/>
    </xf>
    <xf numFmtId="164" fontId="6" fillId="3" borderId="1" xfId="0" applyNumberFormat="1" applyFont="1" applyFill="1" applyBorder="1" applyAlignment="1">
      <alignment horizontal="right" vertical="center"/>
    </xf>
    <xf numFmtId="164" fontId="9" fillId="3" borderId="1" xfId="0" applyNumberFormat="1" applyFont="1" applyFill="1" applyBorder="1" applyAlignment="1">
      <alignment horizontal="right" vertical="center"/>
    </xf>
    <xf numFmtId="164" fontId="10" fillId="3" borderId="1" xfId="0" applyNumberFormat="1" applyFont="1" applyFill="1" applyBorder="1" applyAlignment="1">
      <alignment horizontal="right" vertical="center"/>
    </xf>
    <xf numFmtId="165" fontId="11" fillId="3" borderId="1" xfId="0" applyNumberFormat="1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right" vertical="center"/>
    </xf>
    <xf numFmtId="167" fontId="10" fillId="0" borderId="6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4" fontId="9" fillId="0" borderId="1" xfId="0" applyNumberFormat="1" applyFont="1" applyBorder="1" applyAlignment="1">
      <alignment horizontal="right" vertical="center"/>
    </xf>
    <xf numFmtId="164" fontId="10" fillId="0" borderId="1" xfId="0" applyNumberFormat="1" applyFont="1" applyBorder="1" applyAlignment="1">
      <alignment horizontal="right" vertical="center"/>
    </xf>
    <xf numFmtId="165" fontId="11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right" vertical="center"/>
    </xf>
    <xf numFmtId="167" fontId="11" fillId="0" borderId="6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164" fontId="6" fillId="0" borderId="8" xfId="0" applyNumberFormat="1" applyFont="1" applyBorder="1" applyAlignment="1">
      <alignment horizontal="right" vertical="center"/>
    </xf>
    <xf numFmtId="164" fontId="9" fillId="0" borderId="8" xfId="0" applyNumberFormat="1" applyFont="1" applyBorder="1" applyAlignment="1">
      <alignment horizontal="right" vertical="center"/>
    </xf>
    <xf numFmtId="164" fontId="10" fillId="0" borderId="8" xfId="0" applyNumberFormat="1" applyFont="1" applyBorder="1" applyAlignment="1">
      <alignment horizontal="right" vertical="center"/>
    </xf>
    <xf numFmtId="165" fontId="11" fillId="0" borderId="8" xfId="0" applyNumberFormat="1" applyFont="1" applyBorder="1" applyAlignment="1">
      <alignment horizontal="center" vertical="center"/>
    </xf>
    <xf numFmtId="166" fontId="6" fillId="0" borderId="8" xfId="0" applyNumberFormat="1" applyFont="1" applyBorder="1" applyAlignment="1">
      <alignment horizontal="right" vertical="center"/>
    </xf>
    <xf numFmtId="167" fontId="11" fillId="0" borderId="9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3" fontId="12" fillId="1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164" fontId="12" fillId="13" borderId="1" xfId="0" applyNumberFormat="1" applyFont="1" applyFill="1" applyBorder="1" applyAlignment="1">
      <alignment horizontal="right" vertical="center"/>
    </xf>
    <xf numFmtId="0" fontId="13" fillId="0" borderId="1" xfId="0" applyFont="1" applyBorder="1" applyAlignment="1">
      <alignment horizontal="left" vertical="center"/>
    </xf>
    <xf numFmtId="2" fontId="12" fillId="13" borderId="1" xfId="0" applyNumberFormat="1" applyFont="1" applyFill="1" applyBorder="1" applyAlignment="1">
      <alignment horizontal="right" vertical="center"/>
    </xf>
    <xf numFmtId="1" fontId="12" fillId="13" borderId="1" xfId="0" applyNumberFormat="1" applyFont="1" applyFill="1" applyBorder="1" applyAlignment="1">
      <alignment horizontal="right" vertical="center"/>
    </xf>
    <xf numFmtId="9" fontId="14" fillId="0" borderId="1" xfId="0" applyNumberFormat="1" applyFont="1" applyBorder="1" applyAlignment="1">
      <alignment horizontal="right" vertical="center"/>
    </xf>
    <xf numFmtId="0" fontId="15" fillId="0" borderId="1" xfId="0" applyFont="1" applyBorder="1"/>
    <xf numFmtId="168" fontId="15" fillId="14" borderId="1" xfId="0" applyNumberFormat="1" applyFont="1" applyFill="1" applyBorder="1" applyAlignment="1">
      <alignment horizontal="right" vertical="center"/>
    </xf>
    <xf numFmtId="169" fontId="6" fillId="0" borderId="1" xfId="0" applyNumberFormat="1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170" fontId="6" fillId="0" borderId="1" xfId="0" applyNumberFormat="1" applyFont="1" applyBorder="1" applyAlignment="1">
      <alignment horizontal="right" vertical="center"/>
    </xf>
    <xf numFmtId="170" fontId="16" fillId="9" borderId="1" xfId="0" applyNumberFormat="1" applyFont="1" applyFill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13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170" fontId="18" fillId="3" borderId="1" xfId="0" applyNumberFormat="1" applyFont="1" applyFill="1" applyBorder="1" applyAlignment="1">
      <alignment horizontal="right" vertical="center"/>
    </xf>
    <xf numFmtId="170" fontId="19" fillId="0" borderId="1" xfId="0" applyNumberFormat="1" applyFont="1" applyBorder="1" applyAlignment="1">
      <alignment horizontal="right" vertical="center"/>
    </xf>
    <xf numFmtId="170" fontId="19" fillId="3" borderId="1" xfId="0" applyNumberFormat="1" applyFont="1" applyFill="1" applyBorder="1" applyAlignment="1">
      <alignment horizontal="right" vertical="center"/>
    </xf>
    <xf numFmtId="171" fontId="19" fillId="3" borderId="1" xfId="0" applyNumberFormat="1" applyFont="1" applyFill="1" applyBorder="1" applyAlignment="1">
      <alignment horizontal="right" vertical="center"/>
    </xf>
    <xf numFmtId="166" fontId="18" fillId="0" borderId="1" xfId="0" applyNumberFormat="1" applyFont="1" applyBorder="1" applyAlignment="1">
      <alignment horizontal="right" vertical="center"/>
    </xf>
    <xf numFmtId="166" fontId="19" fillId="3" borderId="1" xfId="0" applyNumberFormat="1" applyFont="1" applyFill="1" applyBorder="1" applyAlignment="1">
      <alignment horizontal="right" vertical="center"/>
    </xf>
    <xf numFmtId="170" fontId="18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4" fillId="4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4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1" fillId="1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0" fillId="15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K37"/>
  <sheetViews>
    <sheetView showGridLines="0" tabSelected="1" workbookViewId="0"/>
  </sheetViews>
  <sheetFormatPr baseColWidth="10" defaultColWidth="8.83203125" defaultRowHeight="15" x14ac:dyDescent="0.2"/>
  <cols>
    <col min="1" max="2" width="3" customWidth="1"/>
    <col min="3" max="3" width="26" customWidth="1"/>
    <col min="4" max="11" width="11" customWidth="1"/>
    <col min="12" max="12" width="3" customWidth="1"/>
  </cols>
  <sheetData>
    <row r="1" spans="3:11" ht="55" customHeight="1" x14ac:dyDescent="0.2">
      <c r="C1" s="82" t="s">
        <v>0</v>
      </c>
      <c r="D1" s="71"/>
      <c r="E1" s="71"/>
      <c r="F1" s="71"/>
      <c r="G1" s="71"/>
      <c r="H1" s="71"/>
      <c r="I1" s="71"/>
      <c r="J1" s="71"/>
      <c r="K1" s="71"/>
    </row>
    <row r="2" spans="3:11" x14ac:dyDescent="0.2">
      <c r="C2" s="71"/>
      <c r="D2" s="71"/>
      <c r="E2" s="71"/>
      <c r="F2" s="71"/>
      <c r="G2" s="71"/>
      <c r="H2" s="71"/>
      <c r="I2" s="71"/>
      <c r="J2" s="71"/>
      <c r="K2" s="71"/>
    </row>
    <row r="3" spans="3:11" x14ac:dyDescent="0.2">
      <c r="C3" s="71"/>
      <c r="D3" s="71"/>
      <c r="E3" s="71"/>
      <c r="F3" s="71"/>
      <c r="G3" s="71"/>
      <c r="H3" s="71"/>
      <c r="I3" s="71"/>
      <c r="J3" s="71"/>
      <c r="K3" s="71"/>
    </row>
    <row r="4" spans="3:11" ht="16" customHeight="1" x14ac:dyDescent="0.2">
      <c r="C4" s="81" t="s">
        <v>1</v>
      </c>
      <c r="D4" s="71"/>
      <c r="E4" s="71"/>
      <c r="F4" s="71"/>
      <c r="G4" s="71"/>
      <c r="H4" s="71"/>
      <c r="I4" s="71"/>
      <c r="J4" s="71"/>
      <c r="K4" s="71"/>
    </row>
    <row r="6" spans="3:11" ht="22" customHeight="1" x14ac:dyDescent="0.2">
      <c r="C6" s="72" t="s">
        <v>2</v>
      </c>
      <c r="D6" s="73"/>
      <c r="E6" s="73"/>
      <c r="F6" s="73"/>
      <c r="G6" s="73"/>
      <c r="H6" s="73"/>
      <c r="I6" s="73"/>
      <c r="J6" s="73"/>
      <c r="K6" s="74"/>
    </row>
    <row r="7" spans="3:11" ht="22" customHeight="1" x14ac:dyDescent="0.2">
      <c r="C7" s="75" t="s">
        <v>3</v>
      </c>
      <c r="D7" s="77" t="s">
        <v>4</v>
      </c>
      <c r="E7" s="77" t="s">
        <v>5</v>
      </c>
      <c r="F7" s="77" t="s">
        <v>6</v>
      </c>
      <c r="G7" s="77" t="s">
        <v>7</v>
      </c>
      <c r="H7" s="77" t="s">
        <v>8</v>
      </c>
      <c r="I7" s="77" t="s">
        <v>9</v>
      </c>
      <c r="J7" s="77" t="s">
        <v>10</v>
      </c>
      <c r="K7" s="79" t="s">
        <v>11</v>
      </c>
    </row>
    <row r="8" spans="3:11" ht="14" customHeight="1" x14ac:dyDescent="0.2">
      <c r="C8" s="76"/>
      <c r="D8" s="78"/>
      <c r="E8" s="78"/>
      <c r="F8" s="78"/>
      <c r="G8" s="78"/>
      <c r="H8" s="78"/>
      <c r="I8" s="78"/>
      <c r="J8" s="78"/>
      <c r="K8" s="80"/>
    </row>
    <row r="9" spans="3:11" ht="20" customHeight="1" x14ac:dyDescent="0.2">
      <c r="C9" s="3" t="s">
        <v>12</v>
      </c>
      <c r="D9" s="4">
        <v>163</v>
      </c>
      <c r="E9" s="4">
        <v>326</v>
      </c>
      <c r="F9" s="4">
        <v>489</v>
      </c>
      <c r="G9" s="5">
        <v>652</v>
      </c>
      <c r="H9" s="5">
        <v>978</v>
      </c>
      <c r="I9" s="6">
        <v>1304</v>
      </c>
      <c r="J9" s="6">
        <v>1955</v>
      </c>
      <c r="K9" s="7">
        <v>3259</v>
      </c>
    </row>
    <row r="10" spans="3:11" ht="20" customHeight="1" x14ac:dyDescent="0.2">
      <c r="C10" s="3" t="s">
        <v>13</v>
      </c>
      <c r="D10" s="4">
        <v>290</v>
      </c>
      <c r="E10" s="5">
        <v>581</v>
      </c>
      <c r="F10" s="5">
        <v>871</v>
      </c>
      <c r="G10" s="6">
        <v>1161</v>
      </c>
      <c r="H10" s="6">
        <v>1742</v>
      </c>
      <c r="I10" s="8">
        <v>2323</v>
      </c>
      <c r="J10" s="8">
        <v>3484</v>
      </c>
      <c r="K10" s="9">
        <v>5806</v>
      </c>
    </row>
    <row r="11" spans="3:11" ht="20" customHeight="1" x14ac:dyDescent="0.2">
      <c r="C11" s="3" t="s">
        <v>14</v>
      </c>
      <c r="D11" s="4">
        <v>296</v>
      </c>
      <c r="E11" s="5">
        <v>592</v>
      </c>
      <c r="F11" s="5">
        <v>889</v>
      </c>
      <c r="G11" s="6">
        <v>1185</v>
      </c>
      <c r="H11" s="6">
        <v>1778</v>
      </c>
      <c r="I11" s="8">
        <v>2370</v>
      </c>
      <c r="J11" s="8">
        <v>3555</v>
      </c>
      <c r="K11" s="9">
        <v>5925</v>
      </c>
    </row>
    <row r="12" spans="3:11" ht="20" customHeight="1" x14ac:dyDescent="0.2">
      <c r="C12" s="3" t="s">
        <v>15</v>
      </c>
      <c r="D12" s="4">
        <v>326</v>
      </c>
      <c r="E12" s="5">
        <v>652</v>
      </c>
      <c r="F12" s="5">
        <v>978</v>
      </c>
      <c r="G12" s="6">
        <v>1304</v>
      </c>
      <c r="H12" s="6">
        <v>1955</v>
      </c>
      <c r="I12" s="8">
        <v>2607</v>
      </c>
      <c r="J12" s="8">
        <v>3911</v>
      </c>
      <c r="K12" s="9">
        <v>6518</v>
      </c>
    </row>
    <row r="13" spans="3:11" ht="20" customHeight="1" x14ac:dyDescent="0.2">
      <c r="C13" s="3" t="s">
        <v>16</v>
      </c>
      <c r="D13" s="4">
        <v>341</v>
      </c>
      <c r="E13" s="5">
        <v>681</v>
      </c>
      <c r="F13" s="6">
        <v>1022</v>
      </c>
      <c r="G13" s="6">
        <v>1363</v>
      </c>
      <c r="H13" s="8">
        <v>2044</v>
      </c>
      <c r="I13" s="8">
        <v>2726</v>
      </c>
      <c r="J13" s="8">
        <v>4088</v>
      </c>
      <c r="K13" s="9">
        <v>6814</v>
      </c>
    </row>
    <row r="14" spans="3:11" ht="20" customHeight="1" x14ac:dyDescent="0.2">
      <c r="C14" s="10" t="s">
        <v>17</v>
      </c>
      <c r="D14" s="4">
        <v>400</v>
      </c>
      <c r="E14" s="5">
        <v>800</v>
      </c>
      <c r="F14" s="6">
        <v>1200</v>
      </c>
      <c r="G14" s="6">
        <v>1600</v>
      </c>
      <c r="H14" s="8">
        <v>2400</v>
      </c>
      <c r="I14" s="8">
        <v>3200</v>
      </c>
      <c r="J14" s="8">
        <v>4799</v>
      </c>
      <c r="K14" s="9">
        <v>7999</v>
      </c>
    </row>
    <row r="15" spans="3:11" ht="20" customHeight="1" x14ac:dyDescent="0.2">
      <c r="C15" s="10" t="s">
        <v>18</v>
      </c>
      <c r="D15" s="4">
        <v>438</v>
      </c>
      <c r="E15" s="5">
        <v>877</v>
      </c>
      <c r="F15" s="6">
        <v>1315</v>
      </c>
      <c r="G15" s="6">
        <v>1754</v>
      </c>
      <c r="H15" s="8">
        <v>2631</v>
      </c>
      <c r="I15" s="8">
        <v>3508</v>
      </c>
      <c r="J15" s="11">
        <v>5261</v>
      </c>
      <c r="K15" s="9">
        <v>8769</v>
      </c>
    </row>
    <row r="16" spans="3:11" ht="20" customHeight="1" x14ac:dyDescent="0.2">
      <c r="C16" s="10" t="s">
        <v>19</v>
      </c>
      <c r="D16" s="4">
        <v>489</v>
      </c>
      <c r="E16" s="5">
        <v>978</v>
      </c>
      <c r="F16" s="6">
        <v>1466</v>
      </c>
      <c r="G16" s="6">
        <v>1955</v>
      </c>
      <c r="H16" s="8">
        <v>2933</v>
      </c>
      <c r="I16" s="8">
        <v>3910</v>
      </c>
      <c r="J16" s="11">
        <v>5866</v>
      </c>
      <c r="K16" s="9">
        <v>9776</v>
      </c>
    </row>
    <row r="17" spans="3:11" ht="20" customHeight="1" x14ac:dyDescent="0.2">
      <c r="C17" s="12" t="s">
        <v>20</v>
      </c>
      <c r="D17" s="5">
        <v>640</v>
      </c>
      <c r="E17" s="6">
        <v>1280</v>
      </c>
      <c r="F17" s="6">
        <v>1920</v>
      </c>
      <c r="G17" s="8">
        <v>2560</v>
      </c>
      <c r="H17" s="8">
        <v>3839</v>
      </c>
      <c r="I17" s="11">
        <v>5119</v>
      </c>
      <c r="J17" s="11">
        <v>7679</v>
      </c>
      <c r="K17" s="13">
        <v>12798</v>
      </c>
    </row>
    <row r="18" spans="3:11" ht="20" customHeight="1" x14ac:dyDescent="0.2">
      <c r="C18" s="12" t="s">
        <v>21</v>
      </c>
      <c r="D18" s="5">
        <v>741</v>
      </c>
      <c r="E18" s="6">
        <v>1481</v>
      </c>
      <c r="F18" s="8">
        <v>2222</v>
      </c>
      <c r="G18" s="8">
        <v>2962</v>
      </c>
      <c r="H18" s="8">
        <v>4444</v>
      </c>
      <c r="I18" s="11">
        <v>5925</v>
      </c>
      <c r="J18" s="11">
        <v>8888</v>
      </c>
      <c r="K18" s="13">
        <v>14812</v>
      </c>
    </row>
    <row r="19" spans="3:11" ht="20" customHeight="1" x14ac:dyDescent="0.2">
      <c r="C19" s="14" t="s">
        <v>22</v>
      </c>
      <c r="D19" s="5">
        <v>838</v>
      </c>
      <c r="E19" s="6">
        <v>1677</v>
      </c>
      <c r="F19" s="8">
        <v>2515</v>
      </c>
      <c r="G19" s="8">
        <v>3354</v>
      </c>
      <c r="H19" s="11">
        <v>5030</v>
      </c>
      <c r="I19" s="11">
        <v>6707</v>
      </c>
      <c r="J19" s="15">
        <v>10061</v>
      </c>
      <c r="K19" s="13">
        <v>16768</v>
      </c>
    </row>
    <row r="20" spans="3:11" ht="20" customHeight="1" x14ac:dyDescent="0.2">
      <c r="C20" s="14" t="s">
        <v>23</v>
      </c>
      <c r="D20" s="5">
        <v>877</v>
      </c>
      <c r="E20" s="6">
        <v>1754</v>
      </c>
      <c r="F20" s="8">
        <v>2631</v>
      </c>
      <c r="G20" s="8">
        <v>3508</v>
      </c>
      <c r="H20" s="11">
        <v>5261</v>
      </c>
      <c r="I20" s="11">
        <v>7015</v>
      </c>
      <c r="J20" s="15">
        <v>10523</v>
      </c>
      <c r="K20" s="13">
        <v>17538</v>
      </c>
    </row>
    <row r="21" spans="3:11" ht="20" customHeight="1" x14ac:dyDescent="0.2">
      <c r="C21" s="14" t="s">
        <v>24</v>
      </c>
      <c r="D21" s="5">
        <v>948</v>
      </c>
      <c r="E21" s="6">
        <v>1896</v>
      </c>
      <c r="F21" s="8">
        <v>2844</v>
      </c>
      <c r="G21" s="8">
        <v>3792</v>
      </c>
      <c r="H21" s="11">
        <v>5688</v>
      </c>
      <c r="I21" s="11">
        <v>7584</v>
      </c>
      <c r="J21" s="15">
        <v>11376</v>
      </c>
      <c r="K21" s="13">
        <v>18960</v>
      </c>
    </row>
    <row r="22" spans="3:11" ht="20" customHeight="1" x14ac:dyDescent="0.2">
      <c r="C22" s="14" t="s">
        <v>25</v>
      </c>
      <c r="D22" s="6">
        <v>1481</v>
      </c>
      <c r="E22" s="8">
        <v>2962</v>
      </c>
      <c r="F22" s="8">
        <v>4444</v>
      </c>
      <c r="G22" s="11">
        <v>5925</v>
      </c>
      <c r="H22" s="11">
        <v>8888</v>
      </c>
      <c r="I22" s="15">
        <v>11850</v>
      </c>
      <c r="J22" s="15">
        <v>17775</v>
      </c>
      <c r="K22" s="13">
        <v>29625</v>
      </c>
    </row>
    <row r="23" spans="3:11" ht="20" customHeight="1" x14ac:dyDescent="0.2">
      <c r="C23" s="16" t="s">
        <v>26</v>
      </c>
      <c r="D23" s="17">
        <v>2441</v>
      </c>
      <c r="E23" s="17">
        <v>4882</v>
      </c>
      <c r="F23" s="18">
        <v>7323</v>
      </c>
      <c r="G23" s="18">
        <v>9764</v>
      </c>
      <c r="H23" s="19">
        <v>14647</v>
      </c>
      <c r="I23" s="19">
        <v>19529</v>
      </c>
      <c r="J23" s="19">
        <v>29293</v>
      </c>
      <c r="K23" s="20">
        <v>48822</v>
      </c>
    </row>
    <row r="25" spans="3:11" ht="14" customHeight="1" x14ac:dyDescent="0.2">
      <c r="C25" s="70" t="s">
        <v>27</v>
      </c>
      <c r="D25" s="71"/>
      <c r="E25" s="71"/>
      <c r="F25" s="71"/>
      <c r="G25" s="71"/>
      <c r="H25" s="71"/>
      <c r="I25" s="71"/>
      <c r="J25" s="71"/>
      <c r="K25" s="71"/>
    </row>
    <row r="28" spans="3:11" ht="22" customHeight="1" x14ac:dyDescent="0.2">
      <c r="C28" s="72" t="s">
        <v>28</v>
      </c>
      <c r="D28" s="73"/>
      <c r="E28" s="73"/>
      <c r="F28" s="73"/>
      <c r="G28" s="73"/>
      <c r="H28" s="73"/>
      <c r="I28" s="73"/>
      <c r="J28" s="74"/>
      <c r="K28" s="71"/>
    </row>
    <row r="29" spans="3:11" ht="30" customHeight="1" x14ac:dyDescent="0.2">
      <c r="C29" s="21" t="s">
        <v>29</v>
      </c>
      <c r="D29" s="1" t="s">
        <v>30</v>
      </c>
      <c r="E29" s="1" t="s">
        <v>31</v>
      </c>
      <c r="F29" s="1" t="s">
        <v>32</v>
      </c>
      <c r="G29" s="1" t="s">
        <v>33</v>
      </c>
      <c r="H29" s="1" t="s">
        <v>34</v>
      </c>
      <c r="I29" s="1" t="s">
        <v>35</v>
      </c>
      <c r="J29" s="2" t="s">
        <v>36</v>
      </c>
    </row>
    <row r="30" spans="3:11" ht="18" customHeight="1" x14ac:dyDescent="0.2">
      <c r="C30" s="22" t="s">
        <v>12</v>
      </c>
      <c r="D30" s="23">
        <v>500000</v>
      </c>
      <c r="E30" s="24">
        <v>650</v>
      </c>
      <c r="F30" s="25">
        <v>326</v>
      </c>
      <c r="G30" s="26">
        <v>-0.49865384615384611</v>
      </c>
      <c r="H30" s="27">
        <v>1.5599999999999999E-2</v>
      </c>
      <c r="I30" s="27">
        <v>7.8209999999999998E-3</v>
      </c>
      <c r="J30" s="28">
        <v>-7.7789999999999986E-3</v>
      </c>
    </row>
    <row r="31" spans="3:11" ht="18" customHeight="1" x14ac:dyDescent="0.2">
      <c r="C31" s="29" t="s">
        <v>14</v>
      </c>
      <c r="D31" s="30">
        <v>500000</v>
      </c>
      <c r="E31" s="31">
        <v>900</v>
      </c>
      <c r="F31" s="32">
        <v>592</v>
      </c>
      <c r="G31" s="33">
        <v>-0.34166666666666667</v>
      </c>
      <c r="H31" s="34">
        <v>2.1600000000000001E-2</v>
      </c>
      <c r="I31" s="34">
        <v>1.422E-2</v>
      </c>
      <c r="J31" s="28">
        <v>-7.3800000000000011E-3</v>
      </c>
    </row>
    <row r="32" spans="3:11" ht="18" customHeight="1" x14ac:dyDescent="0.2">
      <c r="C32" s="22" t="s">
        <v>18</v>
      </c>
      <c r="D32" s="23">
        <v>750000</v>
      </c>
      <c r="E32" s="24">
        <v>1100</v>
      </c>
      <c r="F32" s="25">
        <v>1315</v>
      </c>
      <c r="G32" s="26">
        <v>0.19577272727272721</v>
      </c>
      <c r="H32" s="27">
        <v>1.7600000000000001E-2</v>
      </c>
      <c r="I32" s="27">
        <v>2.1045600000000001E-2</v>
      </c>
      <c r="J32" s="35">
        <v>3.445599999999997E-3</v>
      </c>
    </row>
    <row r="33" spans="3:10" ht="18" customHeight="1" x14ac:dyDescent="0.2">
      <c r="C33" s="29" t="s">
        <v>20</v>
      </c>
      <c r="D33" s="30">
        <v>1000000</v>
      </c>
      <c r="E33" s="31">
        <v>1600</v>
      </c>
      <c r="F33" s="32">
        <v>2560</v>
      </c>
      <c r="G33" s="33">
        <v>0.59975000000000023</v>
      </c>
      <c r="H33" s="34">
        <v>1.9199999999999998E-2</v>
      </c>
      <c r="I33" s="34">
        <v>3.0715200000000002E-2</v>
      </c>
      <c r="J33" s="35">
        <v>1.151520000000001E-2</v>
      </c>
    </row>
    <row r="34" spans="3:10" ht="18" customHeight="1" x14ac:dyDescent="0.2">
      <c r="C34" s="22" t="s">
        <v>22</v>
      </c>
      <c r="D34" s="23">
        <v>1000000</v>
      </c>
      <c r="E34" s="24">
        <v>1800</v>
      </c>
      <c r="F34" s="25">
        <v>3354</v>
      </c>
      <c r="G34" s="26">
        <v>0.86308333333333342</v>
      </c>
      <c r="H34" s="27">
        <v>2.1600000000000001E-2</v>
      </c>
      <c r="I34" s="27">
        <v>4.0242600000000003E-2</v>
      </c>
      <c r="J34" s="35">
        <v>1.8642599999999999E-2</v>
      </c>
    </row>
    <row r="35" spans="3:10" ht="18" customHeight="1" x14ac:dyDescent="0.2">
      <c r="C35" s="29" t="s">
        <v>23</v>
      </c>
      <c r="D35" s="30">
        <v>1000000</v>
      </c>
      <c r="E35" s="31">
        <v>1900</v>
      </c>
      <c r="F35" s="32">
        <v>3508</v>
      </c>
      <c r="G35" s="33">
        <v>0.84610526315789469</v>
      </c>
      <c r="H35" s="34">
        <v>2.2800000000000001E-2</v>
      </c>
      <c r="I35" s="34">
        <v>4.2091200000000002E-2</v>
      </c>
      <c r="J35" s="35">
        <v>1.9291199999999991E-2</v>
      </c>
    </row>
    <row r="36" spans="3:10" ht="18" customHeight="1" x14ac:dyDescent="0.2">
      <c r="C36" s="22" t="s">
        <v>25</v>
      </c>
      <c r="D36" s="23">
        <v>1500000</v>
      </c>
      <c r="E36" s="24">
        <v>2400</v>
      </c>
      <c r="F36" s="25">
        <v>8888</v>
      </c>
      <c r="G36" s="26">
        <v>2.703125</v>
      </c>
      <c r="H36" s="27">
        <v>1.9199999999999998E-2</v>
      </c>
      <c r="I36" s="27">
        <v>7.1099999999999997E-2</v>
      </c>
      <c r="J36" s="35">
        <v>5.1900000000000002E-2</v>
      </c>
    </row>
    <row r="37" spans="3:10" ht="18" customHeight="1" x14ac:dyDescent="0.2">
      <c r="C37" s="36" t="s">
        <v>37</v>
      </c>
      <c r="D37" s="37">
        <v>1500000</v>
      </c>
      <c r="E37" s="38">
        <v>1684.93</v>
      </c>
      <c r="F37" s="39">
        <v>14647</v>
      </c>
      <c r="G37" s="40">
        <v>7.6927053349397312</v>
      </c>
      <c r="H37" s="41">
        <v>1.3479440000000001E-2</v>
      </c>
      <c r="I37" s="41">
        <v>0.11717279999999999</v>
      </c>
      <c r="J37" s="42">
        <v>0.10369336</v>
      </c>
    </row>
  </sheetData>
  <mergeCells count="14">
    <mergeCell ref="C4:K4"/>
    <mergeCell ref="C1:K3"/>
    <mergeCell ref="C6:K6"/>
    <mergeCell ref="C25:K25"/>
    <mergeCell ref="C28:K28"/>
    <mergeCell ref="C7:C8"/>
    <mergeCell ref="D7:D8"/>
    <mergeCell ref="G7:G8"/>
    <mergeCell ref="E7:E8"/>
    <mergeCell ref="K7:K8"/>
    <mergeCell ref="H7:H8"/>
    <mergeCell ref="F7:F8"/>
    <mergeCell ref="I7:I8"/>
    <mergeCell ref="J7:J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45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42" customWidth="1"/>
    <col min="3" max="3" width="22" customWidth="1"/>
    <col min="4" max="4" width="30" customWidth="1"/>
  </cols>
  <sheetData>
    <row r="1" spans="2:4" ht="42" customHeight="1" x14ac:dyDescent="0.2">
      <c r="B1" s="82" t="s">
        <v>38</v>
      </c>
      <c r="C1" s="71"/>
      <c r="D1" s="71"/>
    </row>
    <row r="2" spans="2:4" x14ac:dyDescent="0.2">
      <c r="B2" s="71"/>
      <c r="C2" s="71"/>
      <c r="D2" s="71"/>
    </row>
    <row r="3" spans="2:4" ht="20" customHeight="1" x14ac:dyDescent="0.2">
      <c r="B3" s="83" t="s">
        <v>39</v>
      </c>
      <c r="C3" s="71"/>
      <c r="D3" s="71"/>
    </row>
    <row r="5" spans="2:4" ht="20" customHeight="1" x14ac:dyDescent="0.2">
      <c r="B5" s="84" t="s">
        <v>40</v>
      </c>
      <c r="C5" s="78"/>
      <c r="D5" s="78"/>
    </row>
    <row r="6" spans="2:4" ht="22" customHeight="1" x14ac:dyDescent="0.2">
      <c r="B6" s="43" t="s">
        <v>41</v>
      </c>
      <c r="C6" s="44">
        <v>106</v>
      </c>
      <c r="D6" s="45" t="s">
        <v>42</v>
      </c>
    </row>
    <row r="7" spans="2:4" ht="22" customHeight="1" x14ac:dyDescent="0.2">
      <c r="B7" s="43" t="s">
        <v>43</v>
      </c>
      <c r="C7" s="46">
        <v>1500000</v>
      </c>
      <c r="D7" s="45" t="s">
        <v>44</v>
      </c>
    </row>
    <row r="8" spans="2:4" ht="22" customHeight="1" x14ac:dyDescent="0.2">
      <c r="B8" s="47" t="s">
        <v>45</v>
      </c>
      <c r="C8" s="48">
        <v>8.24</v>
      </c>
      <c r="D8" s="45" t="s">
        <v>46</v>
      </c>
    </row>
    <row r="9" spans="2:4" ht="22" customHeight="1" x14ac:dyDescent="0.2">
      <c r="B9" s="43" t="s">
        <v>47</v>
      </c>
      <c r="C9" s="48">
        <v>1</v>
      </c>
      <c r="D9" s="45" t="s">
        <v>48</v>
      </c>
    </row>
    <row r="10" spans="2:4" ht="22" customHeight="1" x14ac:dyDescent="0.2">
      <c r="B10" s="43" t="s">
        <v>49</v>
      </c>
      <c r="C10" s="48">
        <v>1</v>
      </c>
      <c r="D10" s="45" t="s">
        <v>50</v>
      </c>
    </row>
    <row r="11" spans="2:4" ht="22" customHeight="1" x14ac:dyDescent="0.2">
      <c r="B11" s="43" t="s">
        <v>51</v>
      </c>
      <c r="C11" s="48">
        <v>1</v>
      </c>
      <c r="D11" s="45" t="s">
        <v>52</v>
      </c>
    </row>
    <row r="12" spans="2:4" ht="22" customHeight="1" x14ac:dyDescent="0.2">
      <c r="B12" s="43" t="s">
        <v>53</v>
      </c>
      <c r="C12" s="48">
        <v>1</v>
      </c>
      <c r="D12" s="45" t="s">
        <v>54</v>
      </c>
    </row>
    <row r="13" spans="2:4" ht="22" customHeight="1" x14ac:dyDescent="0.2">
      <c r="B13" s="43" t="s">
        <v>55</v>
      </c>
      <c r="C13" s="48">
        <v>1</v>
      </c>
      <c r="D13" s="45" t="s">
        <v>56</v>
      </c>
    </row>
    <row r="16" spans="2:4" ht="20" customHeight="1" x14ac:dyDescent="0.2">
      <c r="B16" s="84" t="s">
        <v>57</v>
      </c>
      <c r="C16" s="78"/>
      <c r="D16" s="78"/>
    </row>
    <row r="17" spans="2:4" ht="22" customHeight="1" x14ac:dyDescent="0.2">
      <c r="B17" s="43" t="s">
        <v>58</v>
      </c>
      <c r="C17" s="49">
        <v>1</v>
      </c>
      <c r="D17" s="50">
        <f>-0.15*C17</f>
        <v>-0.15</v>
      </c>
    </row>
    <row r="18" spans="2:4" ht="22" customHeight="1" x14ac:dyDescent="0.2">
      <c r="B18" s="43" t="s">
        <v>59</v>
      </c>
      <c r="C18" s="49">
        <v>1</v>
      </c>
      <c r="D18" s="50">
        <f>-0.1*C18</f>
        <v>-0.1</v>
      </c>
    </row>
    <row r="19" spans="2:4" ht="22" customHeight="1" x14ac:dyDescent="0.2">
      <c r="B19" s="43" t="s">
        <v>60</v>
      </c>
      <c r="C19" s="49">
        <v>0</v>
      </c>
      <c r="D19" s="50">
        <f>-0.12*C19</f>
        <v>0</v>
      </c>
    </row>
    <row r="20" spans="2:4" ht="22" customHeight="1" x14ac:dyDescent="0.2">
      <c r="B20" s="43" t="s">
        <v>61</v>
      </c>
      <c r="C20" s="49">
        <v>0</v>
      </c>
      <c r="D20" s="50">
        <f>-0.08*C20</f>
        <v>0</v>
      </c>
    </row>
    <row r="21" spans="2:4" ht="22" customHeight="1" x14ac:dyDescent="0.2">
      <c r="B21" s="43" t="s">
        <v>62</v>
      </c>
      <c r="C21" s="49">
        <v>0</v>
      </c>
      <c r="D21" s="50">
        <f>-0.1*C21</f>
        <v>0</v>
      </c>
    </row>
    <row r="22" spans="2:4" ht="22" customHeight="1" x14ac:dyDescent="0.2">
      <c r="B22" s="43" t="s">
        <v>63</v>
      </c>
      <c r="C22" s="49">
        <v>0</v>
      </c>
      <c r="D22" s="50">
        <f>-0.08*C22</f>
        <v>0</v>
      </c>
    </row>
    <row r="23" spans="2:4" ht="22" customHeight="1" x14ac:dyDescent="0.2">
      <c r="B23" s="43" t="s">
        <v>64</v>
      </c>
      <c r="C23" s="49">
        <v>0</v>
      </c>
      <c r="D23" s="50">
        <f>-0.1*C23</f>
        <v>0</v>
      </c>
    </row>
    <row r="24" spans="2:4" ht="22" customHeight="1" x14ac:dyDescent="0.2">
      <c r="B24" s="43" t="s">
        <v>65</v>
      </c>
      <c r="C24" s="49">
        <v>0</v>
      </c>
      <c r="D24" s="50">
        <f>-0.05*C24</f>
        <v>0</v>
      </c>
    </row>
    <row r="25" spans="2:4" ht="22" customHeight="1" x14ac:dyDescent="0.2">
      <c r="B25" s="43" t="s">
        <v>66</v>
      </c>
      <c r="C25" s="49">
        <v>0</v>
      </c>
      <c r="D25" s="50">
        <f>-0.05*C25</f>
        <v>0</v>
      </c>
    </row>
    <row r="26" spans="2:4" ht="26" customHeight="1" x14ac:dyDescent="0.2">
      <c r="B26" s="51" t="s">
        <v>67</v>
      </c>
      <c r="C26" s="52">
        <f>MAX(-0.4,SUM(D17:D25))</f>
        <v>-0.25</v>
      </c>
      <c r="D26" s="45" t="s">
        <v>68</v>
      </c>
    </row>
    <row r="29" spans="2:4" ht="24" customHeight="1" x14ac:dyDescent="0.2">
      <c r="B29" s="85" t="s">
        <v>69</v>
      </c>
      <c r="C29" s="78"/>
      <c r="D29" s="71"/>
    </row>
    <row r="30" spans="2:4" ht="22" customHeight="1" x14ac:dyDescent="0.2">
      <c r="B30" s="43" t="s">
        <v>70</v>
      </c>
      <c r="C30" s="53">
        <f>0.0005925</f>
        <v>5.9250000000000004E-4</v>
      </c>
    </row>
    <row r="31" spans="2:4" ht="22" customHeight="1" x14ac:dyDescent="0.2">
      <c r="B31" s="43" t="s">
        <v>71</v>
      </c>
      <c r="C31" s="54">
        <f>C9</f>
        <v>1</v>
      </c>
    </row>
    <row r="32" spans="2:4" ht="22" customHeight="1" x14ac:dyDescent="0.2">
      <c r="B32" s="43" t="s">
        <v>72</v>
      </c>
      <c r="C32" s="54" t="s">
        <v>73</v>
      </c>
    </row>
    <row r="33" spans="2:3" ht="22" customHeight="1" x14ac:dyDescent="0.2">
      <c r="B33" s="43" t="s">
        <v>74</v>
      </c>
      <c r="C33" s="55" t="e">
        <f>C8*C30*C31*C32</f>
        <v>#VALUE!</v>
      </c>
    </row>
    <row r="34" spans="2:3" ht="22" customHeight="1" x14ac:dyDescent="0.2">
      <c r="B34" s="43" t="s">
        <v>75</v>
      </c>
      <c r="C34" s="54">
        <f>C10</f>
        <v>1</v>
      </c>
    </row>
    <row r="35" spans="2:3" ht="22" customHeight="1" x14ac:dyDescent="0.2">
      <c r="B35" s="43" t="s">
        <v>76</v>
      </c>
      <c r="C35" s="54">
        <f>C11</f>
        <v>1</v>
      </c>
    </row>
    <row r="36" spans="2:3" ht="22" customHeight="1" x14ac:dyDescent="0.2">
      <c r="B36" s="43" t="s">
        <v>77</v>
      </c>
      <c r="C36" s="54">
        <f>C12</f>
        <v>1</v>
      </c>
    </row>
    <row r="37" spans="2:3" ht="22" customHeight="1" x14ac:dyDescent="0.2">
      <c r="B37" s="43" t="s">
        <v>78</v>
      </c>
      <c r="C37" s="54">
        <f>C13*C14</f>
        <v>0</v>
      </c>
    </row>
    <row r="38" spans="2:3" ht="22" customHeight="1" x14ac:dyDescent="0.2">
      <c r="B38" s="43" t="s">
        <v>79</v>
      </c>
      <c r="C38" s="55" t="e">
        <f>C33*C34*C35*C36*C37</f>
        <v>#VALUE!</v>
      </c>
    </row>
    <row r="39" spans="2:3" ht="22" customHeight="1" x14ac:dyDescent="0.2">
      <c r="B39" s="43" t="s">
        <v>80</v>
      </c>
      <c r="C39" s="55" t="e">
        <f>C38*C26</f>
        <v>#VALUE!</v>
      </c>
    </row>
    <row r="40" spans="2:3" ht="28" customHeight="1" x14ac:dyDescent="0.2">
      <c r="B40" s="47" t="s">
        <v>81</v>
      </c>
      <c r="C40" s="56" t="e">
        <f>C38+C39</f>
        <v>#VALUE!</v>
      </c>
    </row>
    <row r="41" spans="2:3" ht="22" customHeight="1" x14ac:dyDescent="0.2">
      <c r="B41" s="43" t="s">
        <v>82</v>
      </c>
      <c r="C41" s="57">
        <f>C7</f>
        <v>1500000</v>
      </c>
    </row>
    <row r="42" spans="2:3" ht="28" customHeight="1" x14ac:dyDescent="0.2">
      <c r="B42" s="47" t="s">
        <v>83</v>
      </c>
      <c r="C42" s="56" t="e">
        <f>C40*C41</f>
        <v>#VALUE!</v>
      </c>
    </row>
    <row r="43" spans="2:3" ht="22" customHeight="1" x14ac:dyDescent="0.2">
      <c r="B43" s="43" t="s">
        <v>84</v>
      </c>
      <c r="C43" s="55" t="e">
        <f>C42*12</f>
        <v>#VALUE!</v>
      </c>
    </row>
    <row r="44" spans="2:3" ht="22" customHeight="1" x14ac:dyDescent="0.2">
      <c r="B44" s="43" t="s">
        <v>85</v>
      </c>
      <c r="C44" s="55" t="e">
        <f>C42*0.65</f>
        <v>#VALUE!</v>
      </c>
    </row>
    <row r="45" spans="2:3" ht="22" customHeight="1" x14ac:dyDescent="0.2">
      <c r="B45" s="43" t="s">
        <v>86</v>
      </c>
      <c r="C45" s="34" t="e">
        <f>C43/(C8*C7)</f>
        <v>#VALUE!</v>
      </c>
    </row>
  </sheetData>
  <mergeCells count="5">
    <mergeCell ref="B3:D3"/>
    <mergeCell ref="B5:D5"/>
    <mergeCell ref="B1:D2"/>
    <mergeCell ref="B29:D29"/>
    <mergeCell ref="B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39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36" customWidth="1"/>
    <col min="3" max="4" width="20" customWidth="1"/>
    <col min="5" max="5" width="28" customWidth="1"/>
  </cols>
  <sheetData>
    <row r="1" spans="2:5" ht="42" customHeight="1" x14ac:dyDescent="0.2">
      <c r="B1" s="82" t="s">
        <v>87</v>
      </c>
      <c r="C1" s="71"/>
      <c r="D1" s="71"/>
      <c r="E1" s="71"/>
    </row>
    <row r="2" spans="2:5" x14ac:dyDescent="0.2">
      <c r="B2" s="71"/>
      <c r="C2" s="71"/>
      <c r="D2" s="71"/>
      <c r="E2" s="71"/>
    </row>
    <row r="4" spans="2:5" x14ac:dyDescent="0.2">
      <c r="B4" s="84" t="s">
        <v>88</v>
      </c>
      <c r="C4" s="78"/>
      <c r="D4" s="78"/>
      <c r="E4" s="78"/>
    </row>
    <row r="5" spans="2:5" ht="20" customHeight="1" x14ac:dyDescent="0.2">
      <c r="B5" s="58" t="s">
        <v>89</v>
      </c>
      <c r="C5" s="59" t="s">
        <v>90</v>
      </c>
      <c r="D5" s="87" t="s">
        <v>91</v>
      </c>
      <c r="E5" s="78"/>
    </row>
    <row r="6" spans="2:5" ht="20" customHeight="1" x14ac:dyDescent="0.2">
      <c r="B6" s="47" t="s">
        <v>92</v>
      </c>
      <c r="C6" s="60" t="s">
        <v>93</v>
      </c>
      <c r="D6" s="86" t="s">
        <v>94</v>
      </c>
      <c r="E6" s="78"/>
    </row>
    <row r="7" spans="2:5" ht="20" customHeight="1" x14ac:dyDescent="0.2">
      <c r="B7" s="58" t="s">
        <v>95</v>
      </c>
      <c r="C7" s="59" t="s">
        <v>96</v>
      </c>
      <c r="D7" s="87" t="s">
        <v>97</v>
      </c>
      <c r="E7" s="78"/>
    </row>
    <row r="8" spans="2:5" ht="20" customHeight="1" x14ac:dyDescent="0.2">
      <c r="B8" s="47" t="s">
        <v>98</v>
      </c>
      <c r="C8" s="60" t="s">
        <v>99</v>
      </c>
      <c r="D8" s="86" t="s">
        <v>100</v>
      </c>
      <c r="E8" s="78"/>
    </row>
    <row r="9" spans="2:5" ht="20" customHeight="1" x14ac:dyDescent="0.2">
      <c r="B9" s="58" t="s">
        <v>101</v>
      </c>
      <c r="C9" s="59" t="s">
        <v>102</v>
      </c>
      <c r="D9" s="87" t="s">
        <v>103</v>
      </c>
      <c r="E9" s="78"/>
    </row>
    <row r="10" spans="2:5" ht="20" customHeight="1" x14ac:dyDescent="0.2">
      <c r="B10" s="47" t="s">
        <v>82</v>
      </c>
      <c r="C10" s="60" t="s">
        <v>104</v>
      </c>
      <c r="D10" s="86" t="s">
        <v>105</v>
      </c>
      <c r="E10" s="78"/>
    </row>
    <row r="11" spans="2:5" ht="20" customHeight="1" x14ac:dyDescent="0.2">
      <c r="B11" s="58" t="s">
        <v>106</v>
      </c>
      <c r="C11" s="59" t="s">
        <v>107</v>
      </c>
      <c r="D11" s="87" t="s">
        <v>108</v>
      </c>
      <c r="E11" s="78"/>
    </row>
    <row r="12" spans="2:5" ht="20" customHeight="1" x14ac:dyDescent="0.2">
      <c r="B12" s="47" t="s">
        <v>109</v>
      </c>
      <c r="C12" s="60" t="s">
        <v>110</v>
      </c>
      <c r="D12" s="86" t="s">
        <v>111</v>
      </c>
      <c r="E12" s="78"/>
    </row>
    <row r="13" spans="2:5" ht="20" customHeight="1" x14ac:dyDescent="0.2">
      <c r="B13" s="58" t="s">
        <v>112</v>
      </c>
      <c r="C13" s="59" t="s">
        <v>113</v>
      </c>
      <c r="D13" s="87" t="s">
        <v>114</v>
      </c>
      <c r="E13" s="78"/>
    </row>
    <row r="14" spans="2:5" ht="20" customHeight="1" x14ac:dyDescent="0.2">
      <c r="B14" s="47" t="s">
        <v>115</v>
      </c>
      <c r="C14" s="60" t="s">
        <v>116</v>
      </c>
      <c r="D14" s="86" t="s">
        <v>117</v>
      </c>
      <c r="E14" s="78"/>
    </row>
    <row r="15" spans="2:5" ht="20" customHeight="1" x14ac:dyDescent="0.2">
      <c r="B15" s="58" t="s">
        <v>118</v>
      </c>
      <c r="C15" s="59" t="s">
        <v>119</v>
      </c>
      <c r="D15" s="87" t="s">
        <v>120</v>
      </c>
      <c r="E15" s="78"/>
    </row>
    <row r="16" spans="2:5" ht="20" customHeight="1" x14ac:dyDescent="0.2">
      <c r="B16" s="47" t="s">
        <v>121</v>
      </c>
      <c r="C16" s="60" t="s">
        <v>122</v>
      </c>
      <c r="D16" s="86" t="s">
        <v>123</v>
      </c>
      <c r="E16" s="78"/>
    </row>
    <row r="17" spans="2:5" ht="20" customHeight="1" x14ac:dyDescent="0.2">
      <c r="B17" s="58" t="s">
        <v>124</v>
      </c>
      <c r="C17" s="59" t="s">
        <v>125</v>
      </c>
      <c r="D17" s="87" t="s">
        <v>126</v>
      </c>
      <c r="E17" s="78"/>
    </row>
    <row r="21" spans="2:5" ht="22" customHeight="1" x14ac:dyDescent="0.2">
      <c r="B21" s="89" t="s">
        <v>127</v>
      </c>
      <c r="C21" s="78"/>
      <c r="D21" s="78"/>
      <c r="E21" s="78"/>
    </row>
    <row r="22" spans="2:5" ht="18" customHeight="1" x14ac:dyDescent="0.2">
      <c r="B22" s="61" t="s">
        <v>128</v>
      </c>
      <c r="C22" s="61" t="s">
        <v>129</v>
      </c>
      <c r="D22" s="61" t="s">
        <v>130</v>
      </c>
      <c r="E22" s="61"/>
    </row>
    <row r="23" spans="2:5" ht="20" customHeight="1" x14ac:dyDescent="0.2">
      <c r="B23" s="62" t="s">
        <v>131</v>
      </c>
      <c r="C23" s="63">
        <v>1684.93</v>
      </c>
      <c r="D23" s="86" t="s">
        <v>132</v>
      </c>
      <c r="E23" s="78"/>
    </row>
    <row r="24" spans="2:5" ht="20" customHeight="1" x14ac:dyDescent="0.2">
      <c r="B24" s="43" t="s">
        <v>133</v>
      </c>
      <c r="C24" s="64">
        <v>14646.6</v>
      </c>
      <c r="D24" s="86" t="s">
        <v>134</v>
      </c>
      <c r="E24" s="78"/>
    </row>
    <row r="25" spans="2:5" ht="20" customHeight="1" x14ac:dyDescent="0.2">
      <c r="B25" s="62" t="s">
        <v>135</v>
      </c>
      <c r="C25" s="65">
        <v>17571.8</v>
      </c>
      <c r="D25" s="86" t="s">
        <v>136</v>
      </c>
      <c r="E25" s="78"/>
    </row>
    <row r="26" spans="2:5" ht="20" customHeight="1" x14ac:dyDescent="0.2">
      <c r="B26" s="43" t="s">
        <v>137</v>
      </c>
      <c r="C26" s="64">
        <v>12961.67</v>
      </c>
      <c r="D26" s="86" t="s">
        <v>138</v>
      </c>
      <c r="E26" s="78"/>
    </row>
    <row r="27" spans="2:5" ht="20" customHeight="1" x14ac:dyDescent="0.2">
      <c r="B27" s="62" t="s">
        <v>139</v>
      </c>
      <c r="C27" s="66">
        <v>8.6927053349397312</v>
      </c>
      <c r="D27" s="86" t="s">
        <v>140</v>
      </c>
      <c r="E27" s="78"/>
    </row>
    <row r="28" spans="2:5" ht="20" customHeight="1" x14ac:dyDescent="0.2">
      <c r="B28" s="43" t="s">
        <v>141</v>
      </c>
      <c r="C28" s="67">
        <v>1.3480000000000001E-2</v>
      </c>
      <c r="D28" s="86" t="s">
        <v>142</v>
      </c>
      <c r="E28" s="78"/>
    </row>
    <row r="29" spans="2:5" ht="20" customHeight="1" x14ac:dyDescent="0.2">
      <c r="B29" s="62" t="s">
        <v>143</v>
      </c>
      <c r="C29" s="68">
        <v>0.117173</v>
      </c>
      <c r="D29" s="86" t="s">
        <v>144</v>
      </c>
      <c r="E29" s="78"/>
    </row>
    <row r="30" spans="2:5" ht="20" customHeight="1" x14ac:dyDescent="0.2">
      <c r="B30" s="43" t="s">
        <v>145</v>
      </c>
      <c r="C30" s="69">
        <v>184377.58</v>
      </c>
      <c r="D30" s="86" t="s">
        <v>146</v>
      </c>
      <c r="E30" s="78"/>
    </row>
    <row r="31" spans="2:5" ht="20" customHeight="1" x14ac:dyDescent="0.2">
      <c r="B31" s="62" t="s">
        <v>147</v>
      </c>
      <c r="C31" s="65">
        <v>1552539.6</v>
      </c>
      <c r="D31" s="86" t="s">
        <v>148</v>
      </c>
      <c r="E31" s="78"/>
    </row>
    <row r="32" spans="2:5" ht="20" customHeight="1" x14ac:dyDescent="0.2">
      <c r="B32" s="43" t="s">
        <v>149</v>
      </c>
      <c r="C32" s="64">
        <v>1368162.02</v>
      </c>
      <c r="D32" s="86" t="s">
        <v>150</v>
      </c>
      <c r="E32" s="78"/>
    </row>
    <row r="35" spans="2:5" ht="100" customHeight="1" x14ac:dyDescent="0.2">
      <c r="B35" s="88" t="s">
        <v>151</v>
      </c>
      <c r="C35" s="71"/>
      <c r="D35" s="71"/>
      <c r="E35" s="71"/>
    </row>
    <row r="36" spans="2:5" x14ac:dyDescent="0.2">
      <c r="B36" s="71"/>
      <c r="C36" s="71"/>
      <c r="D36" s="71"/>
      <c r="E36" s="71"/>
    </row>
    <row r="37" spans="2:5" x14ac:dyDescent="0.2">
      <c r="B37" s="71"/>
      <c r="C37" s="71"/>
      <c r="D37" s="71"/>
      <c r="E37" s="71"/>
    </row>
    <row r="38" spans="2:5" x14ac:dyDescent="0.2">
      <c r="B38" s="71"/>
      <c r="C38" s="71"/>
      <c r="D38" s="71"/>
      <c r="E38" s="71"/>
    </row>
    <row r="39" spans="2:5" x14ac:dyDescent="0.2">
      <c r="B39" s="71"/>
      <c r="C39" s="71"/>
      <c r="D39" s="71"/>
      <c r="E39" s="71"/>
    </row>
  </sheetData>
  <mergeCells count="27">
    <mergeCell ref="D32:E32"/>
    <mergeCell ref="B1:E2"/>
    <mergeCell ref="D17:E17"/>
    <mergeCell ref="B35:E39"/>
    <mergeCell ref="D16:E16"/>
    <mergeCell ref="D7:E7"/>
    <mergeCell ref="B21:E21"/>
    <mergeCell ref="D28:E28"/>
    <mergeCell ref="D9:E9"/>
    <mergeCell ref="D12:E12"/>
    <mergeCell ref="D8:E8"/>
    <mergeCell ref="D25:E25"/>
    <mergeCell ref="D24:E24"/>
    <mergeCell ref="D30:E30"/>
    <mergeCell ref="D15:E15"/>
    <mergeCell ref="D29:E29"/>
    <mergeCell ref="D10:E10"/>
    <mergeCell ref="D31:E31"/>
    <mergeCell ref="D6:E6"/>
    <mergeCell ref="B4:E4"/>
    <mergeCell ref="D11:E11"/>
    <mergeCell ref="D13:E13"/>
    <mergeCell ref="D27:E27"/>
    <mergeCell ref="D5:E5"/>
    <mergeCell ref="D23:E23"/>
    <mergeCell ref="D14:E14"/>
    <mergeCell ref="D26:E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PVPM Rate Matrix</vt:lpstr>
      <vt:lpstr>PVPM Fleet Calculator</vt:lpstr>
      <vt:lpstr>Motorworld Case 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Frans Prinsloo</cp:lastModifiedBy>
  <dcterms:created xsi:type="dcterms:W3CDTF">2026-06-29T13:26:54Z</dcterms:created>
  <dcterms:modified xsi:type="dcterms:W3CDTF">2026-06-29T13:42:38Z</dcterms:modified>
</cp:coreProperties>
</file>