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Rating Factors" sheetId="2" state="visible" r:id="rId2"/>
    <sheet xmlns:r="http://schemas.openxmlformats.org/officeDocument/2006/relationships" name="Premium Calculator" sheetId="3" state="visible" r:id="rId3"/>
    <sheet xmlns:r="http://schemas.openxmlformats.org/officeDocument/2006/relationships" name="Claims Data Summary" sheetId="4" state="visible" r:id="rId4"/>
    <sheet xmlns:r="http://schemas.openxmlformats.org/officeDocument/2006/relationships" name="IoT Rating Road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%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color rgb="00000000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color rgb="00FFFFFF"/>
      <sz val="12"/>
    </font>
    <font>
      <name val="Arial"/>
      <color rgb="000000FF"/>
      <sz val="10"/>
    </font>
    <font>
      <name val="Arial"/>
      <i val="1"/>
      <sz val="9"/>
    </font>
    <font>
      <name val="Arial"/>
      <sz val="9"/>
    </font>
    <font>
      <name val="Arial"/>
      <i val="1"/>
      <color rgb="00595959"/>
      <sz val="9"/>
    </font>
    <font>
      <name val="Arial"/>
      <color rgb="00595959"/>
      <sz val="10"/>
    </font>
    <font>
      <name val="Arial"/>
      <b val="1"/>
      <sz val="11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b val="1"/>
      <sz val="12"/>
    </font>
    <font>
      <name val="Arial"/>
      <b val="1"/>
      <color rgb="00FFFFFF"/>
      <sz val="13"/>
    </font>
    <font>
      <name val="Arial"/>
      <i val="1"/>
      <color rgb="001F3864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FF0000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6600"/>
      </patternFill>
    </fill>
    <fill>
      <patternFill patternType="solid">
        <fgColor rgb="0000B050"/>
      </patternFill>
    </fill>
    <fill>
      <patternFill patternType="solid">
        <fgColor rgb="00008000"/>
      </patternFill>
    </fill>
    <fill>
      <patternFill patternType="solid">
        <fgColor rgb="00BDD7EE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3" fontId="1" fillId="2" borderId="0" applyAlignment="1" pivotButton="0" quotePrefix="0" xfId="0">
      <alignment horizontal="center" vertical="center"/>
    </xf>
    <xf numFmtId="3" fontId="1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/>
    </xf>
    <xf numFmtId="3" fontId="7" fillId="4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5" fillId="3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/>
    </xf>
    <xf numFmtId="0" fontId="0" fillId="0" borderId="1" pivotButton="0" quotePrefix="0" xfId="0"/>
    <xf numFmtId="164" fontId="9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0" fontId="11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right" vertical="center"/>
    </xf>
    <xf numFmtId="2" fontId="12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/>
    </xf>
    <xf numFmtId="0" fontId="13" fillId="0" borderId="1" applyAlignment="1" pivotButton="0" quotePrefix="0" xfId="0">
      <alignment horizontal="left"/>
    </xf>
    <xf numFmtId="0" fontId="5" fillId="7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5" fillId="1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5" fillId="11" borderId="1" applyAlignment="1" pivotButton="0" quotePrefix="0" xfId="0">
      <alignment horizontal="center"/>
    </xf>
    <xf numFmtId="0" fontId="14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0" fontId="4" fillId="3" borderId="1" applyAlignment="1" pivotButton="0" quotePrefix="0" xfId="0">
      <alignment horizontal="center" vertical="center" wrapText="1"/>
    </xf>
    <xf numFmtId="3" fontId="12" fillId="5" borderId="1" applyAlignment="1" pivotButton="0" quotePrefix="0" xfId="0">
      <alignment horizontal="right" vertical="center"/>
    </xf>
    <xf numFmtId="0" fontId="15" fillId="0" borderId="1" pivotButton="0" quotePrefix="0" xfId="0"/>
    <xf numFmtId="165" fontId="12" fillId="5" borderId="1" applyAlignment="1" pivotButton="0" quotePrefix="0" xfId="0">
      <alignment horizontal="right" vertical="center"/>
    </xf>
    <xf numFmtId="1" fontId="12" fillId="5" borderId="1" applyAlignment="1" pivotButton="0" quotePrefix="0" xfId="0">
      <alignment horizontal="right" vertical="center"/>
    </xf>
    <xf numFmtId="9" fontId="16" fillId="0" borderId="1" applyAlignment="1" pivotButton="0" quotePrefix="0" xfId="0">
      <alignment horizontal="right"/>
    </xf>
    <xf numFmtId="0" fontId="17" fillId="0" borderId="1" pivotButton="0" quotePrefix="0" xfId="0"/>
    <xf numFmtId="164" fontId="18" fillId="7" borderId="1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right"/>
    </xf>
    <xf numFmtId="2" fontId="7" fillId="0" borderId="1" applyAlignment="1" pivotButton="0" quotePrefix="0" xfId="0">
      <alignment horizontal="right"/>
    </xf>
    <xf numFmtId="3" fontId="19" fillId="12" borderId="1" applyAlignment="1" pivotButton="0" quotePrefix="0" xfId="0">
      <alignment horizontal="right"/>
    </xf>
    <xf numFmtId="0" fontId="20" fillId="0" borderId="1" applyAlignment="1" pivotButton="0" quotePrefix="0" xfId="0">
      <alignment horizontal="left"/>
    </xf>
    <xf numFmtId="3" fontId="21" fillId="13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0" fontId="14" fillId="4" borderId="1" applyAlignment="1" pivotButton="0" quotePrefix="0" xfId="0">
      <alignment horizontal="left"/>
    </xf>
    <xf numFmtId="0" fontId="3" fillId="6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6" fillId="4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 wrapText="1"/>
    </xf>
    <xf numFmtId="0" fontId="4" fillId="13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50" customHeight="1">
      <c r="B1" s="1" t="inlineStr">
        <is>
          <t>GOODS IN TRANSIT (GIT) INSURANCE — SCIENTIFIC RATING METHODOLOGY
Claims Portfolio Analysis  |  South Africa  |  2020–2026  |  1,961 Claims  |  122 Clients</t>
        </is>
      </c>
    </row>
    <row r="2"/>
    <row r="3"/>
    <row r="4">
      <c r="B4" s="2" t="inlineStr">
        <is>
          <t>Source: Lombard Insurance Claims Data  |  Insurer: Lombard Insurance Company Limited  |  Prepared: June 2026</t>
        </is>
      </c>
    </row>
    <row r="6" ht="18" customHeight="1">
      <c r="B6" s="3" t="inlineStr">
        <is>
          <t>TOTAL CLAIMS</t>
        </is>
      </c>
      <c r="D6" s="4" t="inlineStr">
        <is>
          <t>PAID CLAIMS</t>
        </is>
      </c>
      <c r="F6" s="3" t="inlineStr">
        <is>
          <t>TOTAL GROSS (R)</t>
        </is>
      </c>
      <c r="H6" s="4" t="inlineStr">
        <is>
          <t>TOTAL NETT (R)</t>
        </is>
      </c>
      <c r="J6" s="3" t="inlineStr">
        <is>
          <t>AVG CLAIM (R)</t>
        </is>
      </c>
    </row>
    <row r="7" ht="32" customHeight="1">
      <c r="B7" s="5" t="n">
        <v>1961</v>
      </c>
      <c r="D7" s="6" t="n">
        <v>1308</v>
      </c>
      <c r="F7" s="5" t="n">
        <v>286239734</v>
      </c>
      <c r="H7" s="6" t="n">
        <v>238770153</v>
      </c>
      <c r="J7" s="5" t="n">
        <v>182546</v>
      </c>
    </row>
    <row r="8" ht="18" customHeight="1"/>
    <row r="10" ht="22" customHeight="1">
      <c r="B10" s="7" t="inlineStr">
        <is>
          <t>CLAIM SEVERITY BY PERIL (PAID CLAIMS)</t>
        </is>
      </c>
      <c r="H10" s="7" t="inlineStr">
        <is>
          <t>CLAIM FREQUENCY BY EVENT TYPE</t>
        </is>
      </c>
    </row>
    <row r="11">
      <c r="B11" s="8" t="inlineStr">
        <is>
          <t>Peril</t>
        </is>
      </c>
      <c r="C11" s="8" t="inlineStr">
        <is>
          <t>Count</t>
        </is>
      </c>
      <c r="D11" s="8" t="inlineStr">
        <is>
          <t>Total Nett (R)</t>
        </is>
      </c>
      <c r="E11" s="8" t="inlineStr">
        <is>
          <t>Avg Nett (R)</t>
        </is>
      </c>
      <c r="F11" s="8" t="inlineStr">
        <is>
          <t>% of Total</t>
        </is>
      </c>
      <c r="H11" s="8" t="inlineStr">
        <is>
          <t>Event</t>
        </is>
      </c>
      <c r="I11" s="8" t="inlineStr">
        <is>
          <t>Count</t>
        </is>
      </c>
      <c r="J11" s="8" t="inlineStr">
        <is>
          <t>Total (R)</t>
        </is>
      </c>
      <c r="K11" s="8" t="inlineStr">
        <is>
          <t>Avg (R)</t>
        </is>
      </c>
      <c r="L11" s="8" t="inlineStr">
        <is>
          <t>Freq%</t>
        </is>
      </c>
    </row>
    <row r="12" ht="16" customHeight="1">
      <c r="B12" s="9" t="inlineStr">
        <is>
          <t>Theft</t>
        </is>
      </c>
      <c r="C12" s="10" t="n">
        <v>154</v>
      </c>
      <c r="D12" s="10" t="n">
        <v>36121843</v>
      </c>
      <c r="E12" s="10" t="n">
        <v>234557</v>
      </c>
      <c r="F12" s="11" t="n">
        <v>0.329925661783739</v>
      </c>
      <c r="H12" s="9" t="inlineStr">
        <is>
          <t>Accident</t>
        </is>
      </c>
      <c r="I12" s="10" t="n">
        <v>346</v>
      </c>
      <c r="J12" s="10" t="n">
        <v>44955537</v>
      </c>
      <c r="K12" s="10" t="n">
        <v>129929</v>
      </c>
      <c r="L12" s="11" t="n">
        <v>0.2645259938837921</v>
      </c>
    </row>
    <row r="13" ht="16" customHeight="1">
      <c r="B13" s="12" t="inlineStr">
        <is>
          <t>Accidental Damage</t>
        </is>
      </c>
      <c r="C13" s="13" t="n">
        <v>595</v>
      </c>
      <c r="D13" s="13" t="n">
        <v>34129229</v>
      </c>
      <c r="E13" s="13" t="n">
        <v>57360</v>
      </c>
      <c r="F13" s="14" t="n">
        <v>0.3117257519137722</v>
      </c>
      <c r="H13" s="12" t="inlineStr">
        <is>
          <t>Goods in Transit</t>
        </is>
      </c>
      <c r="I13" s="13" t="n">
        <v>740</v>
      </c>
      <c r="J13" s="13" t="n">
        <v>43897731</v>
      </c>
      <c r="K13" s="13" t="n">
        <v>59321</v>
      </c>
      <c r="L13" s="14" t="n">
        <v>0.5657492354740061</v>
      </c>
    </row>
    <row r="14" ht="16" customHeight="1">
      <c r="B14" s="9" t="inlineStr">
        <is>
          <t>Load shifting / falling</t>
        </is>
      </c>
      <c r="C14" s="10" t="n">
        <v>397</v>
      </c>
      <c r="D14" s="10" t="n">
        <v>29816465</v>
      </c>
      <c r="E14" s="10" t="n">
        <v>75104</v>
      </c>
      <c r="F14" s="11" t="n">
        <v>0.2723343059232611</v>
      </c>
      <c r="H14" s="9" t="inlineStr">
        <is>
          <t>Hijack</t>
        </is>
      </c>
      <c r="I14" s="10" t="n">
        <v>42</v>
      </c>
      <c r="J14" s="10" t="n">
        <v>17131139</v>
      </c>
      <c r="K14" s="10" t="n">
        <v>407884</v>
      </c>
      <c r="L14" s="11" t="n">
        <v>0.03211009174311927</v>
      </c>
    </row>
    <row r="15" ht="16" customHeight="1">
      <c r="B15" s="12" t="inlineStr">
        <is>
          <t>Spillage</t>
        </is>
      </c>
      <c r="C15" s="13" t="n">
        <v>32</v>
      </c>
      <c r="D15" s="13" t="n">
        <v>4578130</v>
      </c>
      <c r="E15" s="13" t="n">
        <v>143067</v>
      </c>
      <c r="F15" s="14" t="n">
        <v>0.04181521721351711</v>
      </c>
      <c r="H15" s="12" t="inlineStr">
        <is>
          <t>Fire</t>
        </is>
      </c>
      <c r="I15" s="13" t="n">
        <v>19</v>
      </c>
      <c r="J15" s="13" t="n">
        <v>3915839</v>
      </c>
      <c r="K15" s="13" t="n">
        <v>206097</v>
      </c>
      <c r="L15" s="14" t="n">
        <v>0.01452599388379205</v>
      </c>
    </row>
    <row r="16" ht="16" customHeight="1">
      <c r="B16" s="9" t="inlineStr">
        <is>
          <t>Accident</t>
        </is>
      </c>
      <c r="C16" s="10" t="n">
        <v>55</v>
      </c>
      <c r="D16" s="10" t="n">
        <v>2342505</v>
      </c>
      <c r="E16" s="10" t="n">
        <v>42591</v>
      </c>
      <c r="F16" s="11" t="n">
        <v>0.02139570822007111</v>
      </c>
      <c r="H16" s="9" t="inlineStr">
        <is>
          <t>[None]</t>
        </is>
      </c>
      <c r="I16" s="10" t="n">
        <v>26</v>
      </c>
      <c r="J16" s="10" t="n">
        <v>2123703</v>
      </c>
      <c r="K16" s="10" t="n">
        <v>81681</v>
      </c>
      <c r="L16" s="11" t="n">
        <v>0.01987767584097859</v>
      </c>
    </row>
    <row r="17" ht="16" customHeight="1">
      <c r="B17" s="12" t="inlineStr">
        <is>
          <t>Hi-Jacked</t>
        </is>
      </c>
      <c r="C17" s="13" t="n">
        <v>9</v>
      </c>
      <c r="D17" s="13" t="n">
        <v>1132281</v>
      </c>
      <c r="E17" s="13" t="n">
        <v>125809</v>
      </c>
      <c r="F17" s="14" t="n">
        <v>0.01034189837385813</v>
      </c>
      <c r="H17" s="12" t="inlineStr">
        <is>
          <t>Theft</t>
        </is>
      </c>
      <c r="I17" s="13" t="n">
        <v>21</v>
      </c>
      <c r="J17" s="13" t="n">
        <v>1585445</v>
      </c>
      <c r="K17" s="13" t="n">
        <v>75497</v>
      </c>
      <c r="L17" s="14" t="n">
        <v>0.01605504587155963</v>
      </c>
    </row>
    <row r="18" ht="16" customHeight="1">
      <c r="B18" s="9" t="inlineStr">
        <is>
          <t>Water Damage</t>
        </is>
      </c>
      <c r="C18" s="10" t="n">
        <v>6</v>
      </c>
      <c r="D18" s="10" t="n">
        <v>335735</v>
      </c>
      <c r="E18" s="10" t="n">
        <v>55956</v>
      </c>
      <c r="F18" s="11" t="n">
        <v>0.00306650258540737</v>
      </c>
      <c r="H18" s="9" t="inlineStr">
        <is>
          <t>Theft - motor</t>
        </is>
      </c>
      <c r="I18" s="10" t="n">
        <v>1</v>
      </c>
      <c r="J18" s="10" t="n">
        <v>1450000</v>
      </c>
      <c r="K18" s="10" t="n">
        <v>1450000</v>
      </c>
      <c r="L18" s="11" t="n">
        <v>0.0007645259938837921</v>
      </c>
    </row>
    <row r="19" ht="16" customHeight="1">
      <c r="B19" s="12" t="inlineStr">
        <is>
          <t>Fire / Explosion</t>
        </is>
      </c>
      <c r="C19" s="13" t="n">
        <v>4</v>
      </c>
      <c r="D19" s="13" t="n">
        <v>305936</v>
      </c>
      <c r="E19" s="13" t="n">
        <v>76484</v>
      </c>
      <c r="F19" s="14" t="n">
        <v>0.002794323506886697</v>
      </c>
      <c r="H19" s="12" t="inlineStr">
        <is>
          <t>Fire damage to vehicle</t>
        </is>
      </c>
      <c r="I19" s="13" t="n">
        <v>1</v>
      </c>
      <c r="J19" s="13" t="n">
        <v>1182307</v>
      </c>
      <c r="K19" s="13" t="n">
        <v>1182307</v>
      </c>
      <c r="L19" s="14" t="n">
        <v>0.0007645259938837921</v>
      </c>
    </row>
    <row r="20" ht="16" customHeight="1">
      <c r="B20" s="9" t="inlineStr">
        <is>
          <t>Accident - Single vehicle</t>
        </is>
      </c>
      <c r="C20" s="10" t="n">
        <v>9</v>
      </c>
      <c r="D20" s="10" t="n">
        <v>247459</v>
      </c>
      <c r="E20" s="10" t="n">
        <v>27495</v>
      </c>
      <c r="F20" s="11" t="n">
        <v>0.00226021316574673</v>
      </c>
      <c r="H20" s="9" t="inlineStr">
        <is>
          <t>Accidental Damage</t>
        </is>
      </c>
      <c r="I20" s="10" t="n">
        <v>16</v>
      </c>
      <c r="J20" s="10" t="n">
        <v>1087067</v>
      </c>
      <c r="K20" s="10" t="n">
        <v>67942</v>
      </c>
      <c r="L20" s="11" t="n">
        <v>0.01223241590214067</v>
      </c>
    </row>
    <row r="21" ht="16" customHeight="1">
      <c r="B21" s="12" t="inlineStr">
        <is>
          <t>Flood / Water</t>
        </is>
      </c>
      <c r="C21" s="13" t="n">
        <v>4</v>
      </c>
      <c r="D21" s="13" t="n">
        <v>181731</v>
      </c>
      <c r="E21" s="13" t="n">
        <v>45433</v>
      </c>
      <c r="F21" s="14" t="n">
        <v>0.001659870338628364</v>
      </c>
      <c r="H21" s="12" t="inlineStr">
        <is>
          <t>Towing</t>
        </is>
      </c>
      <c r="I21" s="13" t="n">
        <v>55</v>
      </c>
      <c r="J21" s="13" t="n">
        <v>675577</v>
      </c>
      <c r="K21" s="13" t="n">
        <v>12283</v>
      </c>
      <c r="L21" s="14" t="n">
        <v>0.04204892966360856</v>
      </c>
    </row>
    <row r="22" ht="16" customHeight="1">
      <c r="B22" s="9" t="inlineStr">
        <is>
          <t>HI-Jacked (Not Recovered)</t>
        </is>
      </c>
      <c r="C22" s="10" t="n">
        <v>2</v>
      </c>
      <c r="D22" s="10" t="n">
        <v>170000</v>
      </c>
      <c r="E22" s="10" t="n">
        <v>85000</v>
      </c>
      <c r="F22" s="11" t="n">
        <v>0.001552727056840753</v>
      </c>
      <c r="H22" s="9" t="inlineStr">
        <is>
          <t>Accident Only</t>
        </is>
      </c>
      <c r="I22" s="10" t="n">
        <v>3</v>
      </c>
      <c r="J22" s="10" t="n">
        <v>455410</v>
      </c>
      <c r="K22" s="10" t="n">
        <v>151803</v>
      </c>
      <c r="L22" s="11" t="n">
        <v>0.002293577981651376</v>
      </c>
    </row>
    <row r="23" ht="16" customHeight="1">
      <c r="B23" s="12" t="inlineStr">
        <is>
          <t>HI-Jacked (Recovered Damage)</t>
        </is>
      </c>
      <c r="C23" s="13" t="n">
        <v>1</v>
      </c>
      <c r="D23" s="13" t="n">
        <v>85000</v>
      </c>
      <c r="E23" s="13" t="n">
        <v>85000</v>
      </c>
      <c r="F23" s="14" t="n">
        <v>0.0007763635284203763</v>
      </c>
      <c r="H23" s="12" t="inlineStr">
        <is>
          <t>Water</t>
        </is>
      </c>
      <c r="I23" s="13" t="n">
        <v>5</v>
      </c>
      <c r="J23" s="13" t="n">
        <v>409957</v>
      </c>
      <c r="K23" s="13" t="n">
        <v>81991</v>
      </c>
      <c r="L23" s="14" t="n">
        <v>0.00382262996941896</v>
      </c>
    </row>
    <row r="24" ht="16" customHeight="1">
      <c r="B24" s="9" t="inlineStr">
        <is>
          <t>Cause unknown</t>
        </is>
      </c>
      <c r="C24" s="10" t="n">
        <v>1</v>
      </c>
      <c r="D24" s="10" t="n">
        <v>30000</v>
      </c>
      <c r="E24" s="10" t="n">
        <v>30000</v>
      </c>
      <c r="F24" s="11" t="n">
        <v>0.0002740106570895446</v>
      </c>
    </row>
    <row r="25" ht="16" customHeight="1">
      <c r="B25" s="12" t="inlineStr">
        <is>
          <t>Excess reducer</t>
        </is>
      </c>
      <c r="C25" s="13" t="n">
        <v>1</v>
      </c>
      <c r="D25" s="13" t="n">
        <v>8479</v>
      </c>
      <c r="E25" s="13" t="n">
        <v>8479</v>
      </c>
      <c r="F25" s="14" t="n">
        <v>7.744573276158898e-05</v>
      </c>
    </row>
    <row r="28">
      <c r="B28" s="7" t="inlineStr">
        <is>
          <t>ANNUAL CLAIMS TREND</t>
        </is>
      </c>
      <c r="H28" s="7" t="inlineStr">
        <is>
          <t>THEFT SEASONALITY (Monthly)</t>
        </is>
      </c>
    </row>
    <row r="29">
      <c r="B29" s="8" t="inlineStr">
        <is>
          <t>Year</t>
        </is>
      </c>
      <c r="C29" s="8" t="inlineStr">
        <is>
          <t>Paid Claims</t>
        </is>
      </c>
      <c r="D29" s="8" t="inlineStr">
        <is>
          <t>Total Nett (R)</t>
        </is>
      </c>
      <c r="E29" s="8" t="inlineStr">
        <is>
          <t>Avg Nett (R)</t>
        </is>
      </c>
      <c r="F29" s="8" t="inlineStr">
        <is>
          <t>YoY Chg</t>
        </is>
      </c>
      <c r="H29" s="8" t="inlineStr">
        <is>
          <t>Month</t>
        </is>
      </c>
      <c r="I29" s="8" t="inlineStr">
        <is>
          <t>Claims</t>
        </is>
      </c>
      <c r="J29" s="8" t="inlineStr">
        <is>
          <t>Avg (R)</t>
        </is>
      </c>
      <c r="K29" s="15" t="inlineStr"/>
      <c r="L29" s="15" t="inlineStr"/>
    </row>
    <row r="30" ht="16" customHeight="1">
      <c r="B30" s="16" t="n">
        <v>2020</v>
      </c>
      <c r="C30" s="13" t="n">
        <v>8</v>
      </c>
      <c r="D30" s="13" t="n">
        <v>864525</v>
      </c>
      <c r="E30" s="13" t="n">
        <v>108066</v>
      </c>
      <c r="F30" s="17" t="n"/>
      <c r="H30" s="12" t="inlineStr">
        <is>
          <t>Jan</t>
        </is>
      </c>
      <c r="I30" s="13" t="n">
        <v>12</v>
      </c>
      <c r="J30" s="13" t="n">
        <v>338093</v>
      </c>
    </row>
    <row r="31" ht="16" customHeight="1">
      <c r="B31" s="16" t="n">
        <v>2021</v>
      </c>
      <c r="C31" s="13" t="n">
        <v>78</v>
      </c>
      <c r="D31" s="13" t="n">
        <v>6049103</v>
      </c>
      <c r="E31" s="13" t="n">
        <v>77553</v>
      </c>
      <c r="F31" s="18" t="n">
        <v>5.997021140188349</v>
      </c>
      <c r="H31" s="12" t="inlineStr">
        <is>
          <t>Feb</t>
        </is>
      </c>
      <c r="I31" s="13" t="n">
        <v>9</v>
      </c>
      <c r="J31" s="13" t="n">
        <v>422426</v>
      </c>
    </row>
    <row r="32" ht="16" customHeight="1">
      <c r="B32" s="16" t="n">
        <v>2022</v>
      </c>
      <c r="C32" s="13" t="n">
        <v>195</v>
      </c>
      <c r="D32" s="13" t="n">
        <v>23788714</v>
      </c>
      <c r="E32" s="13" t="n">
        <v>121993</v>
      </c>
      <c r="F32" s="18" t="n">
        <v>2.932602142998544</v>
      </c>
      <c r="H32" s="12" t="inlineStr">
        <is>
          <t>Mar</t>
        </is>
      </c>
      <c r="I32" s="13" t="n">
        <v>10</v>
      </c>
      <c r="J32" s="13" t="n">
        <v>153869</v>
      </c>
    </row>
    <row r="33" ht="16" customHeight="1">
      <c r="B33" s="16" t="n">
        <v>2023</v>
      </c>
      <c r="C33" s="13" t="n">
        <v>183</v>
      </c>
      <c r="D33" s="13" t="n">
        <v>26099082</v>
      </c>
      <c r="E33" s="13" t="n">
        <v>142618</v>
      </c>
      <c r="F33" s="18" t="n">
        <v>0.09712036624688927</v>
      </c>
      <c r="H33" s="12" t="inlineStr">
        <is>
          <t>Apr</t>
        </is>
      </c>
      <c r="I33" s="13" t="n">
        <v>12</v>
      </c>
      <c r="J33" s="13" t="n">
        <v>206746</v>
      </c>
    </row>
    <row r="34" ht="16" customHeight="1">
      <c r="B34" s="16" t="n">
        <v>2024</v>
      </c>
      <c r="C34" s="13" t="n">
        <v>201</v>
      </c>
      <c r="D34" s="13" t="n">
        <v>23108495</v>
      </c>
      <c r="E34" s="13" t="n">
        <v>114968</v>
      </c>
      <c r="F34" s="19" t="n">
        <v>-0.1145859307745961</v>
      </c>
      <c r="H34" s="12" t="inlineStr">
        <is>
          <t>May</t>
        </is>
      </c>
      <c r="I34" s="13" t="n">
        <v>13</v>
      </c>
      <c r="J34" s="13" t="n">
        <v>181754</v>
      </c>
    </row>
    <row r="35" ht="16" customHeight="1">
      <c r="B35" s="16" t="n">
        <v>2025</v>
      </c>
      <c r="C35" s="13" t="n">
        <v>345</v>
      </c>
      <c r="D35" s="13" t="n">
        <v>26697059</v>
      </c>
      <c r="E35" s="13" t="n">
        <v>77383</v>
      </c>
      <c r="F35" s="18" t="n">
        <v>0.1552920071035974</v>
      </c>
      <c r="H35" s="12" t="inlineStr">
        <is>
          <t>Jun</t>
        </is>
      </c>
      <c r="I35" s="13" t="n">
        <v>13</v>
      </c>
      <c r="J35" s="13" t="n">
        <v>126519</v>
      </c>
    </row>
    <row r="36" ht="16" customHeight="1">
      <c r="B36" s="16" t="n">
        <v>2026</v>
      </c>
      <c r="C36" s="13" t="n">
        <v>297</v>
      </c>
      <c r="D36" s="13" t="n">
        <v>12784924</v>
      </c>
      <c r="E36" s="13" t="n">
        <v>43047</v>
      </c>
      <c r="F36" s="19" t="n">
        <v>-0.521111142458717</v>
      </c>
      <c r="H36" s="12" t="inlineStr">
        <is>
          <t>Jul</t>
        </is>
      </c>
      <c r="I36" s="13" t="n">
        <v>10</v>
      </c>
      <c r="J36" s="13" t="n">
        <v>223024</v>
      </c>
    </row>
    <row r="37" ht="16" customHeight="1">
      <c r="H37" s="12" t="inlineStr">
        <is>
          <t>Aug</t>
        </is>
      </c>
      <c r="I37" s="13" t="n">
        <v>3</v>
      </c>
      <c r="J37" s="13" t="n">
        <v>70309</v>
      </c>
    </row>
    <row r="38" ht="16" customHeight="1">
      <c r="H38" s="12" t="inlineStr">
        <is>
          <t>Sep</t>
        </is>
      </c>
      <c r="I38" s="13" t="n">
        <v>11</v>
      </c>
      <c r="J38" s="13" t="n">
        <v>39733</v>
      </c>
    </row>
    <row r="39" ht="16" customHeight="1">
      <c r="H39" s="12" t="inlineStr">
        <is>
          <t>Oct</t>
        </is>
      </c>
      <c r="I39" s="13" t="n">
        <v>12</v>
      </c>
      <c r="J39" s="13" t="n">
        <v>236471</v>
      </c>
    </row>
    <row r="40" ht="16" customHeight="1">
      <c r="H40" s="12" t="inlineStr">
        <is>
          <t>Nov</t>
        </is>
      </c>
      <c r="I40" s="13" t="n">
        <v>32</v>
      </c>
      <c r="J40" s="13" t="n">
        <v>285180</v>
      </c>
    </row>
    <row r="41" ht="16" customHeight="1">
      <c r="H41" s="12" t="inlineStr">
        <is>
          <t>Dec</t>
        </is>
      </c>
      <c r="I41" s="13" t="n">
        <v>17</v>
      </c>
      <c r="J41" s="13" t="n">
        <v>317297</v>
      </c>
    </row>
  </sheetData>
  <mergeCells count="16">
    <mergeCell ref="B4:L4"/>
    <mergeCell ref="B6:C6"/>
    <mergeCell ref="B1:L3"/>
    <mergeCell ref="D6:E6"/>
    <mergeCell ref="H6:I6"/>
    <mergeCell ref="D7:E8"/>
    <mergeCell ref="B7:C8"/>
    <mergeCell ref="J6:K6"/>
    <mergeCell ref="B10:F10"/>
    <mergeCell ref="B28:F28"/>
    <mergeCell ref="H7:I8"/>
    <mergeCell ref="F7:G8"/>
    <mergeCell ref="H10:L10"/>
    <mergeCell ref="J7:K8"/>
    <mergeCell ref="F6:G6"/>
    <mergeCell ref="H28:L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32" customWidth="1" min="8" max="8"/>
  </cols>
  <sheetData>
    <row r="1" ht="35" customHeight="1">
      <c r="B1" s="20" t="inlineStr">
        <is>
          <t>GIT SCIENTIFIC RATING FACTORS — DERIVED FROM CLAIMS ANALYSIS</t>
        </is>
      </c>
    </row>
    <row r="2"/>
    <row r="4" ht="22" customHeight="1">
      <c r="B4" s="21" t="inlineStr">
        <is>
          <t>MODULE 1: PERIL LOADING FACTORS (Base = Accidental Damage)</t>
        </is>
      </c>
    </row>
    <row r="5" ht="20" customHeight="1">
      <c r="B5" s="8" t="inlineStr">
        <is>
          <t>Peril</t>
        </is>
      </c>
      <c r="C5" s="8" t="inlineStr">
        <is>
          <t>Paid Claims</t>
        </is>
      </c>
      <c r="D5" s="8" t="inlineStr">
        <is>
          <t>Avg Nett (R)</t>
        </is>
      </c>
      <c r="E5" s="8" t="inlineStr">
        <is>
          <t>Rel. Factor</t>
        </is>
      </c>
      <c r="F5" s="8" t="inlineStr">
        <is>
          <t>Suggested Loading</t>
        </is>
      </c>
      <c r="G5" s="8" t="inlineStr">
        <is>
          <t>Severity Band</t>
        </is>
      </c>
      <c r="H5" s="8" t="inlineStr">
        <is>
          <t>IoT Mitigation</t>
        </is>
      </c>
    </row>
    <row r="6" ht="16" customHeight="1">
      <c r="B6" s="9" t="inlineStr">
        <is>
          <t>Theft</t>
        </is>
      </c>
      <c r="C6" s="10" t="n">
        <v>154</v>
      </c>
      <c r="D6" s="10" t="n">
        <v>234557</v>
      </c>
      <c r="E6" s="22" t="n">
        <v>4.09</v>
      </c>
      <c r="F6" s="23" t="n">
        <v>4.09</v>
      </c>
      <c r="G6" s="24" t="inlineStr">
        <is>
          <t>EXTREME</t>
        </is>
      </c>
      <c r="H6" s="25" t="inlineStr">
        <is>
          <t>GPS, Cargo Seals, Geofencing, Panic Button</t>
        </is>
      </c>
    </row>
    <row r="7" ht="16" customHeight="1">
      <c r="B7" s="12" t="inlineStr">
        <is>
          <t>Accidental Damage</t>
        </is>
      </c>
      <c r="C7" s="13" t="n">
        <v>595</v>
      </c>
      <c r="D7" s="13" t="n">
        <v>57360</v>
      </c>
      <c r="E7" s="22" t="n">
        <v>1</v>
      </c>
      <c r="F7" s="23" t="n">
        <v>1</v>
      </c>
      <c r="G7" s="26" t="inlineStr">
        <is>
          <t>BASE</t>
        </is>
      </c>
      <c r="H7" s="25" t="inlineStr">
        <is>
          <t>Speed Mon., Route Adherence, Dashcam</t>
        </is>
      </c>
    </row>
    <row r="8" ht="16" customHeight="1">
      <c r="B8" s="9" t="inlineStr">
        <is>
          <t>Load shifting/falling</t>
        </is>
      </c>
      <c r="C8" s="10" t="n">
        <v>397</v>
      </c>
      <c r="D8" s="10" t="n">
        <v>75104</v>
      </c>
      <c r="E8" s="22" t="n">
        <v>1.31</v>
      </c>
      <c r="F8" s="23" t="n">
        <v>1.31</v>
      </c>
      <c r="G8" s="27" t="inlineStr">
        <is>
          <t>MODERATE</t>
        </is>
      </c>
      <c r="H8" s="25" t="inlineStr">
        <is>
          <t>Load Sensors, G-Force Monitor, Driver Behaviour</t>
        </is>
      </c>
    </row>
    <row r="9" ht="16" customHeight="1">
      <c r="B9" s="12" t="inlineStr">
        <is>
          <t>Spillage</t>
        </is>
      </c>
      <c r="C9" s="13" t="n">
        <v>32</v>
      </c>
      <c r="D9" s="13" t="n">
        <v>143067</v>
      </c>
      <c r="E9" s="22" t="n">
        <v>2.49</v>
      </c>
      <c r="F9" s="23" t="n">
        <v>2.49</v>
      </c>
      <c r="G9" s="28" t="inlineStr">
        <is>
          <t>HIGH</t>
        </is>
      </c>
      <c r="H9" s="25" t="inlineStr">
        <is>
          <t>Compartment Sensors, Temperature Logger</t>
        </is>
      </c>
    </row>
    <row r="10" ht="16" customHeight="1">
      <c r="B10" s="9" t="inlineStr">
        <is>
          <t>Hi-Jacked</t>
        </is>
      </c>
      <c r="C10" s="10" t="n">
        <v>9</v>
      </c>
      <c r="D10" s="10" t="n">
        <v>125809</v>
      </c>
      <c r="E10" s="22" t="n">
        <v>2.19</v>
      </c>
      <c r="F10" s="23" t="n">
        <v>2.19</v>
      </c>
      <c r="G10" s="28" t="inlineStr">
        <is>
          <t>HIGH</t>
        </is>
      </c>
      <c r="H10" s="25" t="inlineStr">
        <is>
          <t>Panic Button, Armed Response Integration</t>
        </is>
      </c>
    </row>
    <row r="11" ht="16" customHeight="1">
      <c r="B11" s="12" t="inlineStr">
        <is>
          <t>Accident</t>
        </is>
      </c>
      <c r="C11" s="13" t="n">
        <v>55</v>
      </c>
      <c r="D11" s="13" t="n">
        <v>42591</v>
      </c>
      <c r="E11" s="22" t="n">
        <v>0.74</v>
      </c>
      <c r="F11" s="23" t="n">
        <v>0.74</v>
      </c>
      <c r="G11" s="29" t="inlineStr">
        <is>
          <t>LOW</t>
        </is>
      </c>
      <c r="H11" s="25" t="inlineStr">
        <is>
          <t>Dashcam, Fatigue Monitor</t>
        </is>
      </c>
    </row>
    <row r="12" ht="16" customHeight="1">
      <c r="B12" s="9" t="inlineStr">
        <is>
          <t>Water Damage</t>
        </is>
      </c>
      <c r="C12" s="10" t="n">
        <v>6</v>
      </c>
      <c r="D12" s="10" t="n">
        <v>55956</v>
      </c>
      <c r="E12" s="22" t="n">
        <v>0.98</v>
      </c>
      <c r="F12" s="23" t="n">
        <v>0.98</v>
      </c>
      <c r="G12" s="26" t="inlineStr">
        <is>
          <t>BASE</t>
        </is>
      </c>
      <c r="H12" s="25" t="inlineStr">
        <is>
          <t>Humidity Sensors, Tarp Monitors</t>
        </is>
      </c>
    </row>
    <row r="13" ht="16" customHeight="1">
      <c r="B13" s="12" t="inlineStr">
        <is>
          <t>Fire / Explosion</t>
        </is>
      </c>
      <c r="C13" s="13" t="n">
        <v>4</v>
      </c>
      <c r="D13" s="13" t="n">
        <v>76484</v>
      </c>
      <c r="E13" s="22" t="n">
        <v>1.33</v>
      </c>
      <c r="F13" s="23" t="n">
        <v>1.33</v>
      </c>
      <c r="G13" s="27" t="inlineStr">
        <is>
          <t>MODERATE</t>
        </is>
      </c>
      <c r="H13" s="25" t="inlineStr">
        <is>
          <t>Temp Sensors, Fire Alert Systems</t>
        </is>
      </c>
    </row>
    <row r="17">
      <c r="B17" s="21" t="inlineStr">
        <is>
          <t>MODULE 2: COMMODITY / CARGO TYPE LOADING FACTORS</t>
        </is>
      </c>
    </row>
    <row r="18">
      <c r="B18" s="8" t="inlineStr">
        <is>
          <t>Commodity Type</t>
        </is>
      </c>
      <c r="C18" s="8" t="inlineStr">
        <is>
          <t>Paid Claims</t>
        </is>
      </c>
      <c r="D18" s="8" t="inlineStr">
        <is>
          <t>Avg Nett (R)</t>
        </is>
      </c>
      <c r="E18" s="8" t="inlineStr">
        <is>
          <t>Crime Attractiveness</t>
        </is>
      </c>
      <c r="F18" s="8" t="inlineStr">
        <is>
          <t>Commodity Loading</t>
        </is>
      </c>
      <c r="G18" s="8" t="inlineStr">
        <is>
          <t>IoT Priority</t>
        </is>
      </c>
      <c r="H18" s="8" t="inlineStr">
        <is>
          <t>Notes</t>
        </is>
      </c>
    </row>
    <row r="19" ht="18" customHeight="1">
      <c r="B19" s="9" t="inlineStr">
        <is>
          <t>Alcohol / Beverages</t>
        </is>
      </c>
      <c r="C19" s="10" t="n">
        <v>38</v>
      </c>
      <c r="D19" s="10" t="n">
        <v>162224</v>
      </c>
      <c r="E19" s="24" t="inlineStr">
        <is>
          <t>VERY HIGH</t>
        </is>
      </c>
      <c r="F19" s="23" t="n">
        <v>2.83</v>
      </c>
      <c r="G19" s="30" t="inlineStr">
        <is>
          <t>CRITICAL</t>
        </is>
      </c>
      <c r="H19" s="25" t="inlineStr">
        <is>
          <t>High demand black market; Nov-Dec spike pattern</t>
        </is>
      </c>
    </row>
    <row r="20" ht="18" customHeight="1">
      <c r="B20" s="12" t="inlineStr">
        <is>
          <t>Fuel &amp; Chemicals</t>
        </is>
      </c>
      <c r="C20" s="13" t="n">
        <v>24</v>
      </c>
      <c r="D20" s="13" t="n">
        <v>169630</v>
      </c>
      <c r="E20" s="24" t="inlineStr">
        <is>
          <t>VERY HIGH</t>
        </is>
      </c>
      <c r="F20" s="23" t="n">
        <v>2.96</v>
      </c>
      <c r="G20" s="30" t="inlineStr">
        <is>
          <t>CRITICAL</t>
        </is>
      </c>
      <c r="H20" s="25" t="inlineStr">
        <is>
          <t>Petroleum products; contamination &amp; theft risk</t>
        </is>
      </c>
    </row>
    <row r="21" ht="18" customHeight="1">
      <c r="B21" s="9" t="inlineStr">
        <is>
          <t>Metals (Steel/Chrome)</t>
        </is>
      </c>
      <c r="C21" s="10" t="n">
        <v>48</v>
      </c>
      <c r="D21" s="10" t="n">
        <v>123842</v>
      </c>
      <c r="E21" s="28" t="inlineStr">
        <is>
          <t>HIGH</t>
        </is>
      </c>
      <c r="F21" s="23" t="n">
        <v>2.16</v>
      </c>
      <c r="G21" s="30" t="inlineStr">
        <is>
          <t>HIGH</t>
        </is>
      </c>
      <c r="H21" s="25" t="inlineStr">
        <is>
          <t>Scrap metal demand; organized crime networks</t>
        </is>
      </c>
    </row>
    <row r="22" ht="18" customHeight="1">
      <c r="B22" s="12" t="inlineStr">
        <is>
          <t>FMCG / Retail</t>
        </is>
      </c>
      <c r="C22" s="13" t="n">
        <v>10</v>
      </c>
      <c r="D22" s="13" t="n">
        <v>472601</v>
      </c>
      <c r="E22" s="28" t="inlineStr">
        <is>
          <t>HIGH</t>
        </is>
      </c>
      <c r="F22" s="23" t="n">
        <v>8.24</v>
      </c>
      <c r="G22" s="30" t="inlineStr">
        <is>
          <t>HIGH</t>
        </is>
      </c>
      <c r="H22" s="25" t="inlineStr">
        <is>
          <t>Weet-Bix, processed food; community looting risk</t>
        </is>
      </c>
    </row>
    <row r="23" ht="18" customHeight="1">
      <c r="B23" s="9" t="inlineStr">
        <is>
          <t>Food / Grain</t>
        </is>
      </c>
      <c r="C23" s="10" t="n">
        <v>19</v>
      </c>
      <c r="D23" s="10" t="n">
        <v>56065</v>
      </c>
      <c r="E23" s="27" t="inlineStr">
        <is>
          <t>MODERATE</t>
        </is>
      </c>
      <c r="F23" s="23" t="n">
        <v>0.98</v>
      </c>
      <c r="G23" s="30" t="inlineStr">
        <is>
          <t>MEDIUM</t>
        </is>
      </c>
      <c r="H23" s="25" t="inlineStr">
        <is>
          <t>Maize, wheat; bulk theft, lower unit value</t>
        </is>
      </c>
    </row>
    <row r="24" ht="18" customHeight="1">
      <c r="B24" s="12" t="inlineStr">
        <is>
          <t>Machinery/Equipment</t>
        </is>
      </c>
      <c r="C24" s="13" t="n">
        <v>15</v>
      </c>
      <c r="D24" s="13" t="n">
        <v>85000</v>
      </c>
      <c r="E24" s="27" t="inlineStr">
        <is>
          <t>MODERATE</t>
        </is>
      </c>
      <c r="F24" s="23" t="n">
        <v>1.48</v>
      </c>
      <c r="G24" s="30" t="inlineStr">
        <is>
          <t>MEDIUM</t>
        </is>
      </c>
      <c r="H24" s="25" t="inlineStr">
        <is>
          <t>Opportunistic theft; harder to fence</t>
        </is>
      </c>
    </row>
    <row r="25" ht="18" customHeight="1">
      <c r="B25" s="9" t="inlineStr">
        <is>
          <t>General Cargo</t>
        </is>
      </c>
      <c r="C25" s="10" t="n">
        <v>592</v>
      </c>
      <c r="D25" s="10" t="n">
        <v>57360</v>
      </c>
      <c r="E25" s="26" t="inlineStr">
        <is>
          <t>LOW</t>
        </is>
      </c>
      <c r="F25" s="23" t="n">
        <v>1</v>
      </c>
      <c r="G25" s="30" t="inlineStr">
        <is>
          <t>STANDARD</t>
        </is>
      </c>
      <c r="H25" s="25" t="inlineStr">
        <is>
          <t>Base rate commodity — benchmark</t>
        </is>
      </c>
    </row>
    <row r="28">
      <c r="B28" s="21" t="inlineStr">
        <is>
          <t>MODULE 3: IoT DEVICE PREMIUM CREDITS</t>
        </is>
      </c>
    </row>
    <row r="29">
      <c r="B29" s="8" t="inlineStr">
        <is>
          <t>IoT Device</t>
        </is>
      </c>
      <c r="C29" s="8" t="inlineStr">
        <is>
          <t>Risk Addressed</t>
        </is>
      </c>
      <c r="D29" s="8" t="inlineStr">
        <is>
          <t>Credit</t>
        </is>
      </c>
      <c r="E29" s="8" t="inlineStr">
        <is>
          <t>Data Generated</t>
        </is>
      </c>
      <c r="F29" s="8" t="inlineStr">
        <is>
          <t>Evidence Basis</t>
        </is>
      </c>
      <c r="G29" s="8" t="inlineStr">
        <is>
          <t>Cost Estimate</t>
        </is>
      </c>
      <c r="H29" s="15" t="inlineStr"/>
    </row>
    <row r="30" ht="16" customHeight="1">
      <c r="B30" s="9" t="inlineStr">
        <is>
          <t>GPS Real-Time Tracking</t>
        </is>
      </c>
      <c r="C30" s="9" t="inlineStr">
        <is>
          <t>Theft / Hijack</t>
        </is>
      </c>
      <c r="D30" s="31" t="inlineStr">
        <is>
          <t>-15%</t>
        </is>
      </c>
      <c r="E30" s="25" t="inlineStr">
        <is>
          <t>Location, route, dwell time, night stops</t>
        </is>
      </c>
      <c r="F30" s="32" t="inlineStr">
        <is>
          <t>Theft avg R234k; geo recovery reduces nett</t>
        </is>
      </c>
      <c r="G30" s="32" t="inlineStr">
        <is>
          <t>R800-R1,500/veh/mo</t>
        </is>
      </c>
    </row>
    <row r="31" ht="16" customHeight="1">
      <c r="B31" s="12" t="inlineStr">
        <is>
          <t>Geofencing + Alerting</t>
        </is>
      </c>
      <c r="C31" s="12" t="inlineStr">
        <is>
          <t>Theft / Hijack</t>
        </is>
      </c>
      <c r="D31" s="31" t="inlineStr">
        <is>
          <t>-10%</t>
        </is>
      </c>
      <c r="E31" s="25" t="inlineStr">
        <is>
          <t>Boundary breach, unauthorized route</t>
        </is>
      </c>
      <c r="F31" s="32" t="inlineStr">
        <is>
          <t>Night parking in crime zones = elevated risk</t>
        </is>
      </c>
      <c r="G31" s="32" t="inlineStr">
        <is>
          <t>Included in fleet mgmt</t>
        </is>
      </c>
    </row>
    <row r="32" ht="16" customHeight="1">
      <c r="B32" s="9" t="inlineStr">
        <is>
          <t>Driver Behaviour Monitoring</t>
        </is>
      </c>
      <c r="C32" s="9" t="inlineStr">
        <is>
          <t>Accident / Load Shift</t>
        </is>
      </c>
      <c r="D32" s="31" t="inlineStr">
        <is>
          <t>-12%</t>
        </is>
      </c>
      <c r="E32" s="25" t="inlineStr">
        <is>
          <t>Speed, braking, cornering G-forces</t>
        </is>
      </c>
      <c r="F32" s="32" t="inlineStr">
        <is>
          <t>397 load-shift claims, avg R75k</t>
        </is>
      </c>
      <c r="G32" s="32" t="inlineStr">
        <is>
          <t>OBD dongle or integrated</t>
        </is>
      </c>
    </row>
    <row r="33" ht="16" customHeight="1">
      <c r="B33" s="12" t="inlineStr">
        <is>
          <t>Fatigue/Drowsiness Sensor</t>
        </is>
      </c>
      <c r="C33" s="12" t="inlineStr">
        <is>
          <t>Accident</t>
        </is>
      </c>
      <c r="D33" s="31" t="inlineStr">
        <is>
          <t>-8%</t>
        </is>
      </c>
      <c r="E33" s="25" t="inlineStr">
        <is>
          <t>Eye tracking, steering variance</t>
        </is>
      </c>
      <c r="F33" s="32" t="inlineStr">
        <is>
          <t>Accident claims R43k avg, preventable</t>
        </is>
      </c>
      <c r="G33" s="32" t="inlineStr">
        <is>
          <t>R1,000-R2,500/camera</t>
        </is>
      </c>
    </row>
    <row r="34" ht="16" customHeight="1">
      <c r="B34" s="9" t="inlineStr">
        <is>
          <t>Cargo Seal / Door Sensors</t>
        </is>
      </c>
      <c r="C34" s="9" t="inlineStr">
        <is>
          <t>Theft</t>
        </is>
      </c>
      <c r="D34" s="31" t="inlineStr">
        <is>
          <t>-10%</t>
        </is>
      </c>
      <c r="E34" s="25" t="inlineStr">
        <is>
          <t>Unauthorized access, timestamp logs</t>
        </is>
      </c>
      <c r="F34" s="32" t="inlineStr">
        <is>
          <t>Tarp-cutting is the primary theft MO</t>
        </is>
      </c>
      <c r="G34" s="32" t="inlineStr">
        <is>
          <t>R200-R500/unit</t>
        </is>
      </c>
    </row>
    <row r="35" ht="16" customHeight="1">
      <c r="B35" s="12" t="inlineStr">
        <is>
          <t>Temperature/Humidity Logger</t>
        </is>
      </c>
      <c r="C35" s="12" t="inlineStr">
        <is>
          <t>AD (Perishables/Chemicals)</t>
        </is>
      </c>
      <c r="D35" s="31" t="inlineStr">
        <is>
          <t>-8%</t>
        </is>
      </c>
      <c r="E35" s="25" t="inlineStr">
        <is>
          <t>Continuous temp/humidity with breach alert</t>
        </is>
      </c>
      <c r="F35" s="32" t="inlineStr">
        <is>
          <t>Wet load &amp; contamination = R34M+ in claims</t>
        </is>
      </c>
      <c r="G35" s="32" t="inlineStr">
        <is>
          <t>R300-R800/sensor</t>
        </is>
      </c>
    </row>
    <row r="36" ht="16" customHeight="1">
      <c r="B36" s="9" t="inlineStr">
        <is>
          <t>Load Weight / Tilt Sensor</t>
        </is>
      </c>
      <c r="C36" s="9" t="inlineStr">
        <is>
          <t>Load Shifting</t>
        </is>
      </c>
      <c r="D36" s="31" t="inlineStr">
        <is>
          <t>-10%</t>
        </is>
      </c>
      <c r="E36" s="25" t="inlineStr">
        <is>
          <t>Load distribution, tilt angle, axle wt</t>
        </is>
      </c>
      <c r="F36" s="32" t="inlineStr">
        <is>
          <t>625 load-shift claims in this dataset</t>
        </is>
      </c>
      <c r="G36" s="32" t="inlineStr">
        <is>
          <t>R1,500-R3,000/vehicle</t>
        </is>
      </c>
    </row>
    <row r="37" ht="16" customHeight="1">
      <c r="B37" s="12" t="inlineStr">
        <is>
          <t>Panic Button / Armed Response</t>
        </is>
      </c>
      <c r="C37" s="12" t="inlineStr">
        <is>
          <t>Hijack</t>
        </is>
      </c>
      <c r="D37" s="31" t="inlineStr">
        <is>
          <t>-5%</t>
        </is>
      </c>
      <c r="E37" s="25" t="inlineStr">
        <is>
          <t>Incident trigger, response time metric</t>
        </is>
      </c>
      <c r="F37" s="32" t="inlineStr">
        <is>
          <t>Hijack avg R408k — highest event cost</t>
        </is>
      </c>
      <c r="G37" s="32" t="inlineStr">
        <is>
          <t>R200-R500/device + CO</t>
        </is>
      </c>
    </row>
    <row r="38" ht="16" customHeight="1">
      <c r="B38" s="9" t="inlineStr">
        <is>
          <t>Dashcam (Front &amp; Rear)</t>
        </is>
      </c>
      <c r="C38" s="9" t="inlineStr">
        <is>
          <t>Accident / TP Claims</t>
        </is>
      </c>
      <c r="D38" s="31" t="inlineStr">
        <is>
          <t>-5%</t>
        </is>
      </c>
      <c r="E38" s="25" t="inlineStr">
        <is>
          <t>Video evidence, AI incident detection</t>
        </is>
      </c>
      <c r="F38" s="32" t="inlineStr">
        <is>
          <t>TP liability; reduces repudiation risk</t>
        </is>
      </c>
      <c r="G38" s="32" t="inlineStr">
        <is>
          <t>R1,000-R2,500/camera</t>
        </is>
      </c>
    </row>
    <row r="39" ht="16" customHeight="1">
      <c r="B39" s="33" t="inlineStr">
        <is>
          <t>NO IoT DEVICES</t>
        </is>
      </c>
      <c r="C39" s="12" t="inlineStr">
        <is>
          <t>ALL PERILS — UNMITIGATED</t>
        </is>
      </c>
      <c r="D39" s="24" t="inlineStr">
        <is>
          <t>+20%</t>
        </is>
      </c>
      <c r="E39" s="25" t="inlineStr">
        <is>
          <t>No data for scientific risk assessment</t>
        </is>
      </c>
      <c r="F39" s="32" t="inlineStr">
        <is>
          <t>Cannot price risk accurately without data</t>
        </is>
      </c>
      <c r="G39" s="32" t="inlineStr">
        <is>
          <t>N/A</t>
        </is>
      </c>
    </row>
  </sheetData>
  <mergeCells count="4">
    <mergeCell ref="B4:H4"/>
    <mergeCell ref="B1:H2"/>
    <mergeCell ref="B17:H17"/>
    <mergeCell ref="B28:H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2" customWidth="1" min="3" max="3"/>
    <col width="28" customWidth="1" min="4" max="4"/>
  </cols>
  <sheetData>
    <row r="1" ht="42" customHeight="1">
      <c r="B1" s="20" t="inlineStr">
        <is>
          <t>GIT SCIENTIFIC PREMIUM CALCULATOR
Yellow = User Input  |  All calculations are formula-driven</t>
        </is>
      </c>
    </row>
    <row r="2"/>
    <row r="4">
      <c r="B4" s="34" t="inlineStr">
        <is>
          <t>SECTION 1: RISK PROFILE INPUTS</t>
        </is>
      </c>
      <c r="C4" s="17" t="n"/>
      <c r="D4" s="17" t="n"/>
    </row>
    <row r="5" ht="20" customHeight="1">
      <c r="B5" s="33" t="inlineStr">
        <is>
          <t>Annual Sum Insured (R)</t>
        </is>
      </c>
      <c r="C5" s="35" t="n">
        <v>5000000</v>
      </c>
      <c r="D5" s="36" t="inlineStr">
        <is>
          <t>Total declared cargo value per annum</t>
        </is>
      </c>
    </row>
    <row r="6" ht="20" customHeight="1">
      <c r="B6" s="33" t="inlineStr">
        <is>
          <t>Number of Vehicles / Trips per Annum</t>
        </is>
      </c>
      <c r="C6" s="35" t="n">
        <v>52</v>
      </c>
      <c r="D6" s="36" t="inlineStr">
        <is>
          <t>Exposure unit count</t>
        </is>
      </c>
    </row>
    <row r="7" ht="20" customHeight="1">
      <c r="B7" s="33" t="inlineStr">
        <is>
          <t>Base Rate (% of Sum Insured)</t>
        </is>
      </c>
      <c r="C7" s="37" t="n">
        <v>0.0035</v>
      </c>
      <c r="D7" s="36" t="inlineStr">
        <is>
          <t>Starting benchmark — refine with loss history</t>
        </is>
      </c>
    </row>
    <row r="8" ht="20" customHeight="1">
      <c r="B8" s="33" t="inlineStr">
        <is>
          <t>Primary Commodity (loading on Rating Factors tab)</t>
        </is>
      </c>
      <c r="C8" s="23" t="n">
        <v>1</v>
      </c>
      <c r="D8" s="36" t="inlineStr">
        <is>
          <t>Copy Commodity Loading from Rating Factors tab</t>
        </is>
      </c>
    </row>
    <row r="9" ht="20" customHeight="1">
      <c r="B9" s="33" t="inlineStr">
        <is>
          <t>Geographic Zone Loading (High=1.30 Med=1.15)</t>
        </is>
      </c>
      <c r="C9" s="23" t="n">
        <v>1.3</v>
      </c>
      <c r="D9" s="36" t="inlineStr">
        <is>
          <t>High: Gauteng/Limpopo/KZN  |  Low: Western Cape</t>
        </is>
      </c>
    </row>
    <row r="12">
      <c r="B12" s="34" t="inlineStr">
        <is>
          <t>SECTION 2: RISK LOADING FACTORS</t>
        </is>
      </c>
      <c r="C12" s="17" t="n"/>
      <c r="D12" s="17" t="n"/>
    </row>
    <row r="13" ht="20" customHeight="1">
      <c r="B13" s="12" t="inlineStr">
        <is>
          <t>Peril Loading (Theft=4.09 | Load Shift=1.31 | AD=1.00)</t>
        </is>
      </c>
      <c r="C13" s="23" t="n">
        <v>1.31</v>
      </c>
      <c r="D13" s="36" t="inlineStr">
        <is>
          <t>Loading multiplier (1.00 = no change)</t>
        </is>
      </c>
    </row>
    <row r="14" ht="20" customHeight="1">
      <c r="B14" s="12" t="inlineStr">
        <is>
          <t>Fleet Age Loading (&gt;10yrs=+15% → 1.15 | &lt;5yrs=1.00)</t>
        </is>
      </c>
      <c r="C14" s="23" t="n">
        <v>1.07</v>
      </c>
      <c r="D14" s="36" t="inlineStr">
        <is>
          <t>Loading multiplier (1.00 = no change)</t>
        </is>
      </c>
    </row>
    <row r="15" ht="20" customHeight="1">
      <c r="B15" s="12" t="inlineStr">
        <is>
          <t>Claims History Loading (+15% per claim past 3 yrs)</t>
        </is>
      </c>
      <c r="C15" s="23" t="n">
        <v>1.15</v>
      </c>
      <c r="D15" s="36" t="inlineStr">
        <is>
          <t>Loading multiplier (1.00 = no change)</t>
        </is>
      </c>
    </row>
    <row r="16" ht="20" customHeight="1">
      <c r="B16" s="12" t="inlineStr">
        <is>
          <t>Night Operations Loading (&gt;30% night: 1.20 | else 1.00)</t>
        </is>
      </c>
      <c r="C16" s="23" t="n">
        <v>1</v>
      </c>
      <c r="D16" s="36" t="inlineStr">
        <is>
          <t>Loading multiplier (1.00 = no change)</t>
        </is>
      </c>
    </row>
    <row r="17" ht="20" customHeight="1">
      <c r="B17" s="12" t="inlineStr">
        <is>
          <t>Cross-Border Operations Loading (yes=1.25 | no=1.00)</t>
        </is>
      </c>
      <c r="C17" s="23" t="n">
        <v>1</v>
      </c>
      <c r="D17" s="36" t="inlineStr">
        <is>
          <t>Loading multiplier (1.00 = no change)</t>
        </is>
      </c>
    </row>
    <row r="19">
      <c r="B19" s="34" t="inlineStr">
        <is>
          <t>SECTION 3: IoT DEVICE CREDITS  (1 = Installed, 0 = Not installed)</t>
        </is>
      </c>
      <c r="C19" s="17" t="n"/>
      <c r="D19" s="17" t="n"/>
    </row>
    <row r="20" ht="20" customHeight="1">
      <c r="B20" s="12" t="inlineStr">
        <is>
          <t>GPS Real-Time Tracking</t>
        </is>
      </c>
      <c r="C20" s="38" t="n">
        <v>1</v>
      </c>
      <c r="D20" s="39">
        <f>-0.15*C20</f>
        <v/>
      </c>
    </row>
    <row r="21" ht="20" customHeight="1">
      <c r="B21" s="12" t="inlineStr">
        <is>
          <t>Geofencing + Alert System</t>
        </is>
      </c>
      <c r="C21" s="38" t="n">
        <v>1</v>
      </c>
      <c r="D21" s="39">
        <f>-0.1*C21</f>
        <v/>
      </c>
    </row>
    <row r="22" ht="20" customHeight="1">
      <c r="B22" s="12" t="inlineStr">
        <is>
          <t>Driver Behaviour Monitoring</t>
        </is>
      </c>
      <c r="C22" s="38" t="n">
        <v>0</v>
      </c>
      <c r="D22" s="39">
        <f>-0.12*C22</f>
        <v/>
      </c>
    </row>
    <row r="23" ht="20" customHeight="1">
      <c r="B23" s="12" t="inlineStr">
        <is>
          <t>Fatigue / Drowsiness Sensor</t>
        </is>
      </c>
      <c r="C23" s="38" t="n">
        <v>0</v>
      </c>
      <c r="D23" s="39">
        <f>-0.08*C23</f>
        <v/>
      </c>
    </row>
    <row r="24" ht="20" customHeight="1">
      <c r="B24" s="12" t="inlineStr">
        <is>
          <t>Cargo Seal / Door Sensors</t>
        </is>
      </c>
      <c r="C24" s="38" t="n">
        <v>1</v>
      </c>
      <c r="D24" s="39">
        <f>-0.1*C24</f>
        <v/>
      </c>
    </row>
    <row r="25" ht="20" customHeight="1">
      <c r="B25" s="12" t="inlineStr">
        <is>
          <t>Temperature / Humidity Logger</t>
        </is>
      </c>
      <c r="C25" s="38" t="n">
        <v>0</v>
      </c>
      <c r="D25" s="39">
        <f>-0.08*C25</f>
        <v/>
      </c>
    </row>
    <row r="26" ht="20" customHeight="1">
      <c r="B26" s="12" t="inlineStr">
        <is>
          <t>Load Weight / Tilt Sensor</t>
        </is>
      </c>
      <c r="C26" s="38" t="n">
        <v>0</v>
      </c>
      <c r="D26" s="39">
        <f>-0.1*C26</f>
        <v/>
      </c>
    </row>
    <row r="27" ht="20" customHeight="1">
      <c r="B27" s="12" t="inlineStr">
        <is>
          <t>Panic Button / Armed Response</t>
        </is>
      </c>
      <c r="C27" s="38" t="n">
        <v>0</v>
      </c>
      <c r="D27" s="39">
        <f>-0.05*C27</f>
        <v/>
      </c>
    </row>
    <row r="28" ht="20" customHeight="1">
      <c r="B28" s="12" t="inlineStr">
        <is>
          <t>Dashcam (Front &amp; Rear)</t>
        </is>
      </c>
      <c r="C28" s="38" t="n">
        <v>1</v>
      </c>
      <c r="D28" s="39">
        <f>-0.05*C28</f>
        <v/>
      </c>
    </row>
    <row r="29" ht="24" customHeight="1">
      <c r="B29" s="40" t="inlineStr">
        <is>
          <t>TOTAL IoT CREDIT (Max -60%)</t>
        </is>
      </c>
      <c r="C29" s="41">
        <f>MAX(-0.60,SUM(D20:D28))</f>
        <v/>
      </c>
      <c r="D29" s="17" t="n"/>
    </row>
    <row r="32" ht="24" customHeight="1">
      <c r="B32" s="42" t="inlineStr">
        <is>
          <t>SECTION 4: SCIENTIFIC PREMIUM OUTPUT</t>
        </is>
      </c>
      <c r="C32" s="17" t="n"/>
    </row>
    <row r="33" ht="20" customHeight="1">
      <c r="B33" s="12" t="inlineStr">
        <is>
          <t>Base Premium (Sum Insured × Base Rate)</t>
        </is>
      </c>
      <c r="C33" s="43">
        <f>C5*C7</f>
        <v/>
      </c>
    </row>
    <row r="34" ht="20" customHeight="1">
      <c r="B34" s="12" t="inlineStr">
        <is>
          <t>× Peril Loading</t>
        </is>
      </c>
      <c r="C34" s="44">
        <f>C13</f>
        <v/>
      </c>
    </row>
    <row r="35" ht="20" customHeight="1">
      <c r="B35" s="12" t="inlineStr">
        <is>
          <t>× Commodity / Cargo Loading</t>
        </is>
      </c>
      <c r="C35" s="44">
        <f>C4</f>
        <v/>
      </c>
    </row>
    <row r="36" ht="20" customHeight="1">
      <c r="B36" s="12" t="inlineStr">
        <is>
          <t>× Geographic Zone Loading</t>
        </is>
      </c>
      <c r="C36" s="44">
        <f>C6</f>
        <v/>
      </c>
    </row>
    <row r="37" ht="20" customHeight="1">
      <c r="B37" s="12" t="inlineStr">
        <is>
          <t>× Fleet Age Loading</t>
        </is>
      </c>
      <c r="C37" s="44">
        <f>C14</f>
        <v/>
      </c>
    </row>
    <row r="38" ht="20" customHeight="1">
      <c r="B38" s="12" t="inlineStr">
        <is>
          <t>× Claims History Loading</t>
        </is>
      </c>
      <c r="C38" s="44">
        <f>C15</f>
        <v/>
      </c>
    </row>
    <row r="39" ht="20" customHeight="1">
      <c r="B39" s="12" t="inlineStr">
        <is>
          <t>× Night Operations / Cross-Border</t>
        </is>
      </c>
      <c r="C39" s="44">
        <f>C16*C17</f>
        <v/>
      </c>
    </row>
    <row r="40" ht="20" customHeight="1">
      <c r="B40" s="33">
        <f> LOADED PREMIUM (before IoT credits)</f>
        <v/>
      </c>
      <c r="C40" s="45">
        <f>C33*C34*C35*C36*C37*C38*C39</f>
        <v/>
      </c>
    </row>
    <row r="41" ht="20" customHeight="1">
      <c r="B41" s="12" t="inlineStr">
        <is>
          <t>IoT Credit Amount (R)</t>
        </is>
      </c>
      <c r="C41" s="43">
        <f>C40*C29</f>
        <v/>
      </c>
    </row>
    <row r="42" ht="26" customHeight="1">
      <c r="B42" s="46" t="inlineStr">
        <is>
          <t>★ FINAL SCIENTIFIC PREMIUM (R)</t>
        </is>
      </c>
      <c r="C42" s="47">
        <f>C40+C41</f>
        <v/>
      </c>
    </row>
    <row r="43" ht="20" customHeight="1">
      <c r="B43" s="12" t="inlineStr">
        <is>
          <t>Effective Rate (% of Sum Insured)</t>
        </is>
      </c>
      <c r="C43" s="48">
        <f>C42/C5</f>
        <v/>
      </c>
    </row>
    <row r="44" ht="20" customHeight="1">
      <c r="B44" s="12" t="inlineStr">
        <is>
          <t>Suggested Excess (R)</t>
        </is>
      </c>
      <c r="C44" s="35" t="n">
        <v>50000</v>
      </c>
    </row>
  </sheetData>
  <mergeCells count="5">
    <mergeCell ref="B19:D19"/>
    <mergeCell ref="B1:D2"/>
    <mergeCell ref="B32:D32"/>
    <mergeCell ref="B4:D4"/>
    <mergeCell ref="B12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5" customHeight="1">
      <c r="B1" s="20" t="inlineStr">
        <is>
          <t>GIT CLAIMS DATA SUMMARY — DATASET STATISTICS (1,961 Claims | 2020–2026)</t>
        </is>
      </c>
    </row>
    <row r="2"/>
    <row r="4">
      <c r="B4" s="7" t="inlineStr">
        <is>
          <t>CLAIM SIZE DISTRIBUTION</t>
        </is>
      </c>
    </row>
    <row r="5">
      <c r="B5" s="8" t="inlineStr">
        <is>
          <t>Severity Band</t>
        </is>
      </c>
      <c r="C5" s="8" t="inlineStr">
        <is>
          <t>Count</t>
        </is>
      </c>
      <c r="D5" s="8" t="inlineStr">
        <is>
          <t>% Claims</t>
        </is>
      </c>
      <c r="E5" s="8" t="inlineStr">
        <is>
          <t>Total Nett (R)</t>
        </is>
      </c>
    </row>
    <row r="6" ht="16" customHeight="1">
      <c r="B6" s="9" t="inlineStr">
        <is>
          <t>&lt;R10,000</t>
        </is>
      </c>
      <c r="C6" s="10" t="n">
        <v>528</v>
      </c>
      <c r="D6" s="11" t="n">
        <v>0.4036697247706422</v>
      </c>
      <c r="E6" s="10" t="n">
        <v>2672033</v>
      </c>
    </row>
    <row r="7" ht="16" customHeight="1">
      <c r="B7" s="12" t="inlineStr">
        <is>
          <t>R10k–R50k</t>
        </is>
      </c>
      <c r="C7" s="13" t="n">
        <v>407</v>
      </c>
      <c r="D7" s="14" t="n">
        <v>0.3111620795107033</v>
      </c>
      <c r="E7" s="13" t="n">
        <v>9542019</v>
      </c>
    </row>
    <row r="8" ht="16" customHeight="1">
      <c r="B8" s="9" t="inlineStr">
        <is>
          <t>R50k–R100k</t>
        </is>
      </c>
      <c r="C8" s="10" t="n">
        <v>120</v>
      </c>
      <c r="D8" s="11" t="n">
        <v>0.09174311926605505</v>
      </c>
      <c r="E8" s="10" t="n">
        <v>9334461</v>
      </c>
    </row>
    <row r="9" ht="16" customHeight="1">
      <c r="B9" s="12" t="inlineStr">
        <is>
          <t>R100k–R250k</t>
        </is>
      </c>
      <c r="C9" s="13" t="n">
        <v>114</v>
      </c>
      <c r="D9" s="14" t="n">
        <v>0.0871559633027523</v>
      </c>
      <c r="E9" s="13" t="n">
        <v>18186916</v>
      </c>
    </row>
    <row r="10" ht="16" customHeight="1">
      <c r="B10" s="9" t="inlineStr">
        <is>
          <t>R250k–R500k</t>
        </is>
      </c>
      <c r="C10" s="10" t="n">
        <v>77</v>
      </c>
      <c r="D10" s="11" t="n">
        <v>0.05886850152905199</v>
      </c>
      <c r="E10" s="10" t="n">
        <v>26380652</v>
      </c>
    </row>
    <row r="11" ht="16" customHeight="1">
      <c r="B11" s="12" t="inlineStr">
        <is>
          <t>R500k–R1M</t>
        </is>
      </c>
      <c r="C11" s="13" t="n">
        <v>43</v>
      </c>
      <c r="D11" s="14" t="n">
        <v>0.03287461773700306</v>
      </c>
      <c r="E11" s="13" t="n">
        <v>31147556</v>
      </c>
    </row>
    <row r="12" ht="16" customHeight="1">
      <c r="B12" s="9" t="inlineStr">
        <is>
          <t>&gt;R1M</t>
        </is>
      </c>
      <c r="C12" s="10" t="n">
        <v>19</v>
      </c>
      <c r="D12" s="11" t="n">
        <v>0.01452599388379205</v>
      </c>
      <c r="E12" s="10" t="n">
        <v>141506516</v>
      </c>
    </row>
    <row r="16">
      <c r="B16" s="7" t="inlineStr">
        <is>
          <t>TOP 15 CLIENTS BY TOTAL NETT CLAIMS</t>
        </is>
      </c>
    </row>
    <row r="17">
      <c r="B17" s="8" t="inlineStr">
        <is>
          <t>Client</t>
        </is>
      </c>
      <c r="C17" s="8" t="inlineStr">
        <is>
          <t>Claims</t>
        </is>
      </c>
      <c r="D17" s="8" t="inlineStr">
        <is>
          <t>Total Nett (R)</t>
        </is>
      </c>
      <c r="E17" s="8" t="inlineStr">
        <is>
          <t>Avg (R)</t>
        </is>
      </c>
      <c r="F17" s="8" t="inlineStr">
        <is>
          <t>Max (R)</t>
        </is>
      </c>
      <c r="G17" s="8" t="inlineStr">
        <is>
          <t>Loss Ratio</t>
        </is>
      </c>
      <c r="H17" s="8" t="inlineStr">
        <is>
          <t>Risk Band</t>
        </is>
      </c>
    </row>
    <row r="18" ht="16" customHeight="1">
      <c r="B18" s="49" t="inlineStr">
        <is>
          <t>Loutrans (Pty) Ltd</t>
        </is>
      </c>
      <c r="C18" s="10" t="n">
        <v>391</v>
      </c>
      <c r="D18" s="10" t="n">
        <v>21527554</v>
      </c>
      <c r="E18" s="10" t="n">
        <v>55058</v>
      </c>
      <c r="F18" s="10" t="n">
        <v>1739858</v>
      </c>
      <c r="G18" s="14" t="n">
        <v>0.7780794036100978</v>
      </c>
      <c r="H18" s="50" t="inlineStr">
        <is>
          <t>VERY HIGH</t>
        </is>
      </c>
    </row>
    <row r="19" ht="16" customHeight="1">
      <c r="B19" s="32" t="inlineStr">
        <is>
          <t>Corpclo 1071 (Pty) Ltd  Trd as H</t>
        </is>
      </c>
      <c r="C19" s="13" t="n">
        <v>262</v>
      </c>
      <c r="D19" s="13" t="n">
        <v>17594256</v>
      </c>
      <c r="E19" s="13" t="n">
        <v>67154</v>
      </c>
      <c r="F19" s="13" t="n">
        <v>1219893</v>
      </c>
      <c r="G19" s="14" t="n">
        <v>0.7045995288784793</v>
      </c>
      <c r="H19" s="50" t="inlineStr">
        <is>
          <t>VERY HIGH</t>
        </is>
      </c>
    </row>
    <row r="20" ht="16" customHeight="1">
      <c r="B20" s="49" t="inlineStr">
        <is>
          <t>Hendrik van Wyk Vervoer (Pty) Lt</t>
        </is>
      </c>
      <c r="C20" s="10" t="n">
        <v>115</v>
      </c>
      <c r="D20" s="10" t="n">
        <v>11253262</v>
      </c>
      <c r="E20" s="10" t="n">
        <v>97854</v>
      </c>
      <c r="F20" s="10" t="n">
        <v>1418062</v>
      </c>
      <c r="G20" s="14" t="n">
        <v>0.9314705482447969</v>
      </c>
      <c r="H20" s="51" t="inlineStr">
        <is>
          <t>HIGH</t>
        </is>
      </c>
    </row>
    <row r="21" ht="16" customHeight="1">
      <c r="B21" s="32" t="inlineStr">
        <is>
          <t>Multiloads (Pty) Ltd</t>
        </is>
      </c>
      <c r="C21" s="13" t="n">
        <v>199</v>
      </c>
      <c r="D21" s="13" t="n">
        <v>8784508</v>
      </c>
      <c r="E21" s="13" t="n">
        <v>44143</v>
      </c>
      <c r="F21" s="13" t="n">
        <v>726274</v>
      </c>
      <c r="G21" s="14" t="n">
        <v>0.8864218523389269</v>
      </c>
      <c r="H21" s="51" t="inlineStr">
        <is>
          <t>HIGH</t>
        </is>
      </c>
    </row>
    <row r="22" ht="16" customHeight="1">
      <c r="B22" s="49" t="inlineStr">
        <is>
          <t>Buonadonna Transport CC</t>
        </is>
      </c>
      <c r="C22" s="10" t="n">
        <v>36</v>
      </c>
      <c r="D22" s="10" t="n">
        <v>6982327</v>
      </c>
      <c r="E22" s="10" t="n">
        <v>193954</v>
      </c>
      <c r="F22" s="10" t="n">
        <v>1182307</v>
      </c>
      <c r="G22" s="14" t="n">
        <v>0.8713606381872507</v>
      </c>
      <c r="H22" s="51" t="inlineStr">
        <is>
          <t>HIGH</t>
        </is>
      </c>
    </row>
    <row r="23" ht="16" customHeight="1">
      <c r="B23" s="32" t="inlineStr">
        <is>
          <t>Fadel Logistics South Africa (Pt</t>
        </is>
      </c>
      <c r="C23" s="13" t="n">
        <v>213</v>
      </c>
      <c r="D23" s="13" t="n">
        <v>4871345</v>
      </c>
      <c r="E23" s="13" t="n">
        <v>22870</v>
      </c>
      <c r="F23" s="13" t="n">
        <v>1002948</v>
      </c>
      <c r="G23" s="14" t="n">
        <v>0.9148907386421263</v>
      </c>
      <c r="H23" s="52" t="inlineStr">
        <is>
          <t>MODERATE</t>
        </is>
      </c>
    </row>
    <row r="24" ht="16" customHeight="1">
      <c r="B24" s="49" t="inlineStr">
        <is>
          <t>Afbuy Trading (Pty) Ltd</t>
        </is>
      </c>
      <c r="C24" s="10" t="n">
        <v>29</v>
      </c>
      <c r="D24" s="10" t="n">
        <v>4615411</v>
      </c>
      <c r="E24" s="10" t="n">
        <v>159152</v>
      </c>
      <c r="F24" s="10" t="n">
        <v>1411157</v>
      </c>
      <c r="G24" s="14" t="n">
        <v>0.9046114691715493</v>
      </c>
      <c r="H24" s="52" t="inlineStr">
        <is>
          <t>MODERATE</t>
        </is>
      </c>
    </row>
    <row r="25" ht="16" customHeight="1">
      <c r="B25" s="32" t="inlineStr">
        <is>
          <t>Orestivista (Pty) Ltd, Orestirox</t>
        </is>
      </c>
      <c r="C25" s="13" t="n">
        <v>39</v>
      </c>
      <c r="D25" s="13" t="n">
        <v>4443259</v>
      </c>
      <c r="E25" s="13" t="n">
        <v>113930</v>
      </c>
      <c r="F25" s="13" t="n">
        <v>897146</v>
      </c>
      <c r="G25" s="14" t="n">
        <v>0.8406202885775742</v>
      </c>
      <c r="H25" s="52" t="inlineStr">
        <is>
          <t>MODERATE</t>
        </is>
      </c>
    </row>
    <row r="26" ht="16" customHeight="1">
      <c r="B26" s="49" t="inlineStr">
        <is>
          <t>MOTORWORLD SOUTH AFRICA (PTY) LT</t>
        </is>
      </c>
      <c r="C26" s="10" t="n">
        <v>44</v>
      </c>
      <c r="D26" s="10" t="n">
        <v>3585873</v>
      </c>
      <c r="E26" s="10" t="n">
        <v>81497</v>
      </c>
      <c r="F26" s="10" t="n">
        <v>692692</v>
      </c>
      <c r="G26" s="14" t="n">
        <v>0.8485266579923959</v>
      </c>
      <c r="H26" s="52" t="inlineStr">
        <is>
          <t>MODERATE</t>
        </is>
      </c>
    </row>
    <row r="27" ht="16" customHeight="1">
      <c r="B27" s="32" t="inlineStr">
        <is>
          <t>Orestitouch (PTY) LTD, MFR trd a</t>
        </is>
      </c>
      <c r="C27" s="13" t="n">
        <v>38</v>
      </c>
      <c r="D27" s="13" t="n">
        <v>3318036</v>
      </c>
      <c r="E27" s="13" t="n">
        <v>87317</v>
      </c>
      <c r="F27" s="13" t="n">
        <v>1048230</v>
      </c>
      <c r="G27" s="14" t="n">
        <v>0.7346813032601334</v>
      </c>
      <c r="H27" s="52" t="inlineStr">
        <is>
          <t>MODERATE</t>
        </is>
      </c>
    </row>
    <row r="28" ht="16" customHeight="1">
      <c r="B28" s="49" t="inlineStr">
        <is>
          <t>WSTM ENTERPRISES, JUNOX 252, W W</t>
        </is>
      </c>
      <c r="C28" s="10" t="n">
        <v>9</v>
      </c>
      <c r="D28" s="10" t="n">
        <v>2292654</v>
      </c>
      <c r="E28" s="10" t="n">
        <v>254739</v>
      </c>
      <c r="F28" s="10" t="n">
        <v>1450000</v>
      </c>
      <c r="G28" s="14" t="n">
        <v>0.9385913775776618</v>
      </c>
      <c r="H28" s="52" t="inlineStr">
        <is>
          <t>MODERATE</t>
        </is>
      </c>
    </row>
    <row r="29" ht="16" customHeight="1">
      <c r="B29" s="32" t="inlineStr">
        <is>
          <t>Eagle Bulk Logistics Pty Ltd</t>
        </is>
      </c>
      <c r="C29" s="13" t="n">
        <v>6</v>
      </c>
      <c r="D29" s="13" t="n">
        <v>2182287</v>
      </c>
      <c r="E29" s="13" t="n">
        <v>363714</v>
      </c>
      <c r="F29" s="13" t="n">
        <v>1232021</v>
      </c>
      <c r="G29" s="14" t="n">
        <v>0.8791492690225889</v>
      </c>
      <c r="H29" s="52" t="inlineStr">
        <is>
          <t>MODERATE</t>
        </is>
      </c>
    </row>
    <row r="30" ht="16" customHeight="1">
      <c r="B30" s="49" t="inlineStr">
        <is>
          <t>Akira Creative Solutions (Vukukh</t>
        </is>
      </c>
      <c r="C30" s="10" t="n">
        <v>3</v>
      </c>
      <c r="D30" s="10" t="n">
        <v>1539265</v>
      </c>
      <c r="E30" s="10" t="n">
        <v>513088</v>
      </c>
      <c r="F30" s="10" t="n">
        <v>843389</v>
      </c>
      <c r="G30" s="14" t="n">
        <v>0.831982006723529</v>
      </c>
      <c r="H30" s="52" t="inlineStr">
        <is>
          <t>MODERATE</t>
        </is>
      </c>
    </row>
    <row r="31" ht="16" customHeight="1">
      <c r="B31" s="32" t="inlineStr">
        <is>
          <t>Hub Services Solutions (Fadel)</t>
        </is>
      </c>
      <c r="C31" s="13" t="n">
        <v>13</v>
      </c>
      <c r="D31" s="13" t="n">
        <v>1496097</v>
      </c>
      <c r="E31" s="13" t="n">
        <v>115084</v>
      </c>
      <c r="F31" s="13" t="n">
        <v>300273</v>
      </c>
      <c r="G31" s="14" t="n">
        <v>1</v>
      </c>
      <c r="H31" s="52" t="inlineStr">
        <is>
          <t>MODERATE</t>
        </is>
      </c>
    </row>
    <row r="32" ht="16" customHeight="1">
      <c r="B32" s="49" t="inlineStr">
        <is>
          <t>Nhlangwini Logistics &amp; Khula Msh</t>
        </is>
      </c>
      <c r="C32" s="10" t="n">
        <v>6</v>
      </c>
      <c r="D32" s="10" t="n">
        <v>1355509</v>
      </c>
      <c r="E32" s="10" t="n">
        <v>225918</v>
      </c>
      <c r="F32" s="10" t="n">
        <v>1075300</v>
      </c>
      <c r="G32" s="14" t="n">
        <v>0.8870375051833745</v>
      </c>
      <c r="H32" s="52" t="inlineStr">
        <is>
          <t>MODERATE</t>
        </is>
      </c>
    </row>
  </sheetData>
  <mergeCells count="3">
    <mergeCell ref="B16:H16"/>
    <mergeCell ref="B1:H2"/>
    <mergeCell ref="B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  <col width="32" customWidth="1" min="4" max="4"/>
    <col width="28" customWidth="1" min="5" max="5"/>
    <col width="22" customWidth="1" min="6" max="6"/>
  </cols>
  <sheetData>
    <row r="1" ht="35" customHeight="1">
      <c r="B1" s="20" t="inlineStr">
        <is>
          <t>IoT-ENABLED GIT RATING — SA IMPLEMENTATION ROADMAP &amp; DATA REQUIREMENTS</t>
        </is>
      </c>
    </row>
    <row r="2"/>
    <row r="3">
      <c r="B3" s="53" t="inlineStr">
        <is>
          <t>This roadmap outlines the path from manual GIT rating to fully scientific, IoT-data-driven pricing in the South African market</t>
        </is>
      </c>
    </row>
    <row r="5" ht="22" customHeight="1">
      <c r="B5" s="21" t="inlineStr">
        <is>
          <t>PHASE 1: Foundation (0–6 months)</t>
        </is>
      </c>
    </row>
    <row r="6" ht="20" customHeight="1">
      <c r="B6" s="8" t="inlineStr">
        <is>
          <t>IoT Solution</t>
        </is>
      </c>
      <c r="C6" s="8" t="inlineStr">
        <is>
          <t>Target Fleets</t>
        </is>
      </c>
      <c r="D6" s="8" t="inlineStr">
        <is>
          <t>Data Captured</t>
        </is>
      </c>
      <c r="E6" s="8" t="inlineStr">
        <is>
          <t>Rating Factor Impacted</t>
        </is>
      </c>
      <c r="F6" s="8" t="inlineStr">
        <is>
          <t>Approx. Cost</t>
        </is>
      </c>
    </row>
    <row r="7" ht="28" customHeight="1">
      <c r="B7" s="54" t="inlineStr">
        <is>
          <t>GPS Fleet Tracking</t>
        </is>
      </c>
      <c r="C7" s="54" t="inlineStr">
        <is>
          <t>All fleet vehicles</t>
        </is>
      </c>
      <c r="D7" s="54" t="inlineStr">
        <is>
          <t>Location, speed, route history, night stop geo-points</t>
        </is>
      </c>
      <c r="E7" s="54" t="inlineStr">
        <is>
          <t>Theft loading, high-crime zone mapping</t>
        </is>
      </c>
      <c r="F7" s="54" t="inlineStr">
        <is>
          <t>R800–R1,500/vehicle/month</t>
        </is>
      </c>
    </row>
    <row r="8" ht="28" customHeight="1">
      <c r="B8" s="55" t="inlineStr">
        <is>
          <t>Driver ID &amp; Behaviour</t>
        </is>
      </c>
      <c r="C8" s="55" t="inlineStr">
        <is>
          <t>All fleet vehicles</t>
        </is>
      </c>
      <c r="D8" s="55" t="inlineStr">
        <is>
          <t>Harsh braking, speeding, cornering G-force metrics</t>
        </is>
      </c>
      <c r="E8" s="55" t="inlineStr">
        <is>
          <t>Load shift &amp; accident prevention credits</t>
        </is>
      </c>
      <c r="F8" s="55" t="inlineStr">
        <is>
          <t>Usually incl. in telematics fee</t>
        </is>
      </c>
    </row>
    <row r="9" ht="28" customHeight="1">
      <c r="B9" s="54" t="inlineStr">
        <is>
          <t>Claims Data Enrichment</t>
        </is>
      </c>
      <c r="C9" s="54" t="inlineStr">
        <is>
          <t>Back-office</t>
        </is>
      </c>
      <c r="D9" s="54" t="inlineStr">
        <is>
          <t>Retrospective GPS overlay on claim events</t>
        </is>
      </c>
      <c r="E9" s="54" t="inlineStr">
        <is>
          <t>Validate all rating factors in this model</t>
        </is>
      </c>
      <c r="F9" s="54" t="inlineStr">
        <is>
          <t>Internal analytics process</t>
        </is>
      </c>
    </row>
    <row r="12" ht="22" customHeight="1">
      <c r="B12" s="56" t="inlineStr">
        <is>
          <t>PHASE 2: Cargo Intelligence (6–18 months)</t>
        </is>
      </c>
    </row>
    <row r="13" ht="20" customHeight="1">
      <c r="B13" s="8" t="inlineStr">
        <is>
          <t>IoT Solution</t>
        </is>
      </c>
      <c r="C13" s="8" t="inlineStr">
        <is>
          <t>Target Fleets</t>
        </is>
      </c>
      <c r="D13" s="8" t="inlineStr">
        <is>
          <t>Data Captured</t>
        </is>
      </c>
      <c r="E13" s="8" t="inlineStr">
        <is>
          <t>Rating Factor Impacted</t>
        </is>
      </c>
      <c r="F13" s="8" t="inlineStr">
        <is>
          <t>Approx. Cost</t>
        </is>
      </c>
    </row>
    <row r="14" ht="28" customHeight="1">
      <c r="B14" s="54" t="inlineStr">
        <is>
          <t>Cargo Seal / Door Sensors</t>
        </is>
      </c>
      <c r="C14" s="54" t="inlineStr">
        <is>
          <t>High-value &amp; refrigerated loads</t>
        </is>
      </c>
      <c r="D14" s="54" t="inlineStr">
        <is>
          <t>Unauthorized openings + timestamp trail</t>
        </is>
      </c>
      <c r="E14" s="54" t="inlineStr">
        <is>
          <t>Theft detection, forensic evidence chain</t>
        </is>
      </c>
      <c r="F14" s="54" t="inlineStr">
        <is>
          <t>R200–R500/unit</t>
        </is>
      </c>
    </row>
    <row r="15" ht="28" customHeight="1">
      <c r="B15" s="55" t="inlineStr">
        <is>
          <t>Load Weight Monitoring</t>
        </is>
      </c>
      <c r="C15" s="55" t="inlineStr">
        <is>
          <t>Bulk &amp; flatbed trucks</t>
        </is>
      </c>
      <c r="D15" s="55" t="inlineStr">
        <is>
          <t>Axle load distribution, overload alert, shift detection</t>
        </is>
      </c>
      <c r="E15" s="55" t="inlineStr">
        <is>
          <t>Load shifting peril credit reduction</t>
        </is>
      </c>
      <c r="F15" s="55" t="inlineStr">
        <is>
          <t>R1,500–R3,000/vehicle</t>
        </is>
      </c>
    </row>
    <row r="16" ht="28" customHeight="1">
      <c r="B16" s="54" t="inlineStr">
        <is>
          <t>Temperature &amp; Humidity Loggers</t>
        </is>
      </c>
      <c r="C16" s="54" t="inlineStr">
        <is>
          <t>Perishables, chemicals, pharma</t>
        </is>
      </c>
      <c r="D16" s="54" t="inlineStr">
        <is>
          <t>Continuous log with automated breach alerts</t>
        </is>
      </c>
      <c r="E16" s="54" t="inlineStr">
        <is>
          <t>AD peril — contamination and wet loads</t>
        </is>
      </c>
      <c r="F16" s="54" t="inlineStr">
        <is>
          <t>R300–R800/sensor</t>
        </is>
      </c>
    </row>
    <row r="17" ht="28" customHeight="1">
      <c r="B17" s="55" t="inlineStr">
        <is>
          <t>Dashcam with AI Detection</t>
        </is>
      </c>
      <c r="C17" s="55" t="inlineStr">
        <is>
          <t>All vehicles</t>
        </is>
      </c>
      <c r="D17" s="55" t="inlineStr">
        <is>
          <t>Driver fatigue, incident detection, video evidence</t>
        </is>
      </c>
      <c r="E17" s="55" t="inlineStr">
        <is>
          <t>Accident prevention; TP liability management</t>
        </is>
      </c>
      <c r="F17" s="55" t="inlineStr">
        <is>
          <t>R1,000–R2,500/camera</t>
        </is>
      </c>
    </row>
    <row r="20" ht="22" customHeight="1">
      <c r="B20" s="57" t="inlineStr">
        <is>
          <t>PHASE 3: Scientific Rating (18–36 months)</t>
        </is>
      </c>
    </row>
    <row r="21" ht="20" customHeight="1">
      <c r="B21" s="8" t="inlineStr">
        <is>
          <t>IoT Solution</t>
        </is>
      </c>
      <c r="C21" s="8" t="inlineStr">
        <is>
          <t>Target Fleets</t>
        </is>
      </c>
      <c r="D21" s="8" t="inlineStr">
        <is>
          <t>Data Captured</t>
        </is>
      </c>
      <c r="E21" s="8" t="inlineStr">
        <is>
          <t>Rating Factor Impacted</t>
        </is>
      </c>
      <c r="F21" s="8" t="inlineStr">
        <is>
          <t>Approx. Cost</t>
        </is>
      </c>
    </row>
    <row r="22" ht="28" customHeight="1">
      <c r="B22" s="54" t="inlineStr">
        <is>
          <t>Predictive Trip Risk Score</t>
        </is>
      </c>
      <c r="C22" s="54" t="inlineStr">
        <is>
          <t>Per vehicle / per trip</t>
        </is>
      </c>
      <c r="D22" s="54" t="inlineStr">
        <is>
          <t>Composite IoT score using all live data feeds</t>
        </is>
      </c>
      <c r="E22" s="54" t="inlineStr">
        <is>
          <t>Dynamic per-trip premium adjustment engine</t>
        </is>
      </c>
      <c r="F22" s="54" t="inlineStr">
        <is>
          <t>Actuarial model development</t>
        </is>
      </c>
    </row>
    <row r="23" ht="28" customHeight="1">
      <c r="B23" s="55" t="inlineStr">
        <is>
          <t>SA Crime Zone Heat Mapping</t>
        </is>
      </c>
      <c r="C23" s="55" t="inlineStr">
        <is>
          <t>Route planning module</t>
        </is>
      </c>
      <c r="D23" s="55" t="inlineStr">
        <is>
          <t>Real-time SAPS crime stats + incident history GIS overlay</t>
        </is>
      </c>
      <c r="E23" s="55" t="inlineStr">
        <is>
          <t>Route risk surcharge / reward system</t>
        </is>
      </c>
      <c r="F23" s="55" t="inlineStr">
        <is>
          <t>Crime data API partnership</t>
        </is>
      </c>
    </row>
    <row r="24" ht="28" customHeight="1">
      <c r="B24" s="54" t="inlineStr">
        <is>
          <t>Automated Loss Prevention</t>
        </is>
      </c>
      <c r="C24" s="54" t="inlineStr">
        <is>
          <t>High-risk commodity loads</t>
        </is>
      </c>
      <c r="D24" s="54" t="inlineStr">
        <is>
          <t>Automated IoT alert → armed response dispatch trigger</t>
        </is>
      </c>
      <c r="E24" s="54" t="inlineStr">
        <is>
          <t>Reduce hijack frequency &amp; severity</t>
        </is>
      </c>
      <c r="F24" s="54" t="inlineStr">
        <is>
          <t>Integration with Capital Air etc.</t>
        </is>
      </c>
    </row>
    <row r="25" ht="28" customHeight="1">
      <c r="B25" s="55" t="inlineStr">
        <is>
          <t>Usage-Based GIT Insurance</t>
        </is>
      </c>
      <c r="C25" s="55" t="inlineStr">
        <is>
          <t>Progressive / large fleets</t>
        </is>
      </c>
      <c r="D25" s="55" t="inlineStr">
        <is>
          <t>Per-km / per-trip pricing using live risk profile data</t>
        </is>
      </c>
      <c r="E25" s="55" t="inlineStr">
        <is>
          <t>Fully scientific, individualised pricing</t>
        </is>
      </c>
      <c r="F25" s="55" t="inlineStr">
        <is>
          <t>Advanced telematics platform</t>
        </is>
      </c>
    </row>
  </sheetData>
  <mergeCells count="5">
    <mergeCell ref="B12:F12"/>
    <mergeCell ref="B20:F20"/>
    <mergeCell ref="B3:F3"/>
    <mergeCell ref="B5:F5"/>
    <mergeCell ref="B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2026-06-29T10:51:55Z</dcterms:created>
  <dcterms:modified xmlns:dcterms="http://purl.org/dc/terms/" xmlns:xsi="http://www.w3.org/2001/XMLSchema-instance" xsi:type="dcterms:W3CDTF">2026-06-29T10:51:56Z</dcterms:modified>
</cp:coreProperties>
</file>